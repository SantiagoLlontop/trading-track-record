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Sessions" sheetId="2" r:id="rId6"/>
    <sheet state="visible" name="Monthly" sheetId="3" r:id="rId7"/>
    <sheet state="visible" name="Metrics" sheetId="4" r:id="rId8"/>
    <sheet state="visible" name="Venue Distribution" sheetId="5" r:id="rId9"/>
  </sheets>
  <definedNames>
    <definedName hidden="1" localSheetId="1" name="_xlnm._FilterDatabase">Sessions!$A$1:$H$414</definedName>
  </definedNames>
  <calcPr/>
</workbook>
</file>

<file path=xl/sharedStrings.xml><?xml version="1.0" encoding="utf-8"?>
<sst xmlns="http://schemas.openxmlformats.org/spreadsheetml/2006/main" count="999" uniqueCount="389">
  <si>
    <t>SPORTS ARBITRAGE — TRADING TRACK RECORD</t>
  </si>
  <si>
    <t>Market-neutral arbitrage · Multi-venue operation · Verified session ledger</t>
  </si>
  <si>
    <t>Period: November 2024 – June 2026   ·   20 months   ·   413 sessions   ·   Regulated &amp; tax-compliant (SUNAT, Peru)</t>
  </si>
  <si>
    <t>NET P&amp;L</t>
  </si>
  <si>
    <t>POSITIVE MONTHS</t>
  </si>
  <si>
    <t>WIN RATE</t>
  </si>
  <si>
    <t>PROFIT FACTOR</t>
  </si>
  <si>
    <t>SHARPE (MONTHLY)</t>
  </si>
  <si>
    <t>S/ 129,048</t>
  </si>
  <si>
    <t>20 / 20</t>
  </si>
  <si>
    <t>84.3%</t>
  </si>
  <si>
    <t>5.35</t>
  </si>
  <si>
    <t>2.19</t>
  </si>
  <si>
    <t>≈ $37,955</t>
  </si>
  <si>
    <t>100% hit rate</t>
  </si>
  <si>
    <t>348W · 58L · 7 flat</t>
  </si>
  <si>
    <t>win/loss ratio</t>
  </si>
  <si>
    <t>7.59 annualized</t>
  </si>
  <si>
    <t>WORKBOOK CONTENTS</t>
  </si>
  <si>
    <t>Sessions</t>
  </si>
  <si>
    <t>Complete daily session ledger — 413 rows, Nov 2024 to Jun 2026</t>
  </si>
  <si>
    <t>Monthly</t>
  </si>
  <si>
    <t>Month-by-month P&amp;L, ROI on deployed capital, cumulative curve &amp; charts</t>
  </si>
  <si>
    <t>Metrics</t>
  </si>
  <si>
    <t>Full institutional metric set with definitions</t>
  </si>
  <si>
    <t>Venue Distribution</t>
  </si>
  <si>
    <t>Operation breadth by venue (session presence)</t>
  </si>
  <si>
    <t>METHODOLOGY &amp; DEFINITIONS</t>
  </si>
  <si>
    <t>•  Net P&amp;L: gross gaming profit net of losses, before operational expenses and taxes. Reconciled to source ledgers to the cent across all months.</t>
  </si>
  <si>
    <t>•  ROI: measured on rotated working capital (2–3× per month), not a static base — it reflects capital efficiency, not compounding.</t>
  </si>
  <si>
    <t>•  Sharpe: computed on 19 full monthly returns (Dec 2024–Jun 2026); Nov 2024 is a partial inception month, excluded from the ratio but included in totals.</t>
  </si>
  <si>
    <t>•  Sharpe caveat: arbitrage is near market-neutral, so traditional Sharpe overstates risk-adjusted return. True risk is operational (account limitation, execution error), not return variance.</t>
  </si>
  <si>
    <t>•  Max drawdown: largest peak-to-trough decline on the session-level cumulative equity curve (not a single session).</t>
  </si>
  <si>
    <t>•  Multi-day inception blocks split into individual daily sessions; P&amp;L divided evenly across days, working capital held constant per day.</t>
  </si>
  <si>
    <t>#</t>
  </si>
  <si>
    <t>Date</t>
  </si>
  <si>
    <t>Month</t>
  </si>
  <si>
    <t>Net P&amp;L (S/)</t>
  </si>
  <si>
    <t>Deployed Capital (S/)</t>
  </si>
  <si>
    <t>Session Return %</t>
  </si>
  <si>
    <t>Active Venues</t>
  </si>
  <si>
    <t>Venues</t>
  </si>
  <si>
    <t>2024-11</t>
  </si>
  <si>
    <t>20BET, APUESTA TOTAL, BET365, PINNACLE</t>
  </si>
  <si>
    <t>20BET, APUESTA TOTAL, BET365, DORADO, PINNACLE</t>
  </si>
  <si>
    <t>2024-12</t>
  </si>
  <si>
    <t>20BET, BET365, DORADO, PINNACLE</t>
  </si>
  <si>
    <t>20BET, BET365, BETSAFE, DORADO, PINNACLE, STAKE</t>
  </si>
  <si>
    <t>20BET, BET365, COOLBET, DORADO, PINNACLE</t>
  </si>
  <si>
    <t>20BET, BET365, BETSAFE, COOLBET, DORADO, PINNACLE</t>
  </si>
  <si>
    <t>20BET, APUESTA TOTAL, BET365, BETSAFE, COOLBET, PINNACLE</t>
  </si>
  <si>
    <t>20BET, APUESTA TOTAL, BET365, BETSAFE, PINNACLE, TELEGRAM</t>
  </si>
  <si>
    <t>20BET, APUESTA TOTAL, BET365, PINNACLE, TELEGRAM</t>
  </si>
  <si>
    <t>20BET, APUESTA TOTAL, BET365, BETSAFE, DORADO, PINNACLE</t>
  </si>
  <si>
    <t>20BET, APUESTA TOTAL, BET365, BETSAFE, DORADO, PINNACLE, RETABET</t>
  </si>
  <si>
    <t>20BET, APUESTA TOTAL, BET365, DORADO, PINNACLE, RETABET</t>
  </si>
  <si>
    <t>2025-01</t>
  </si>
  <si>
    <t>20BET, BET365, PINNACLE</t>
  </si>
  <si>
    <t>20BET, BET365, BETSAFE, COOLBET, PINNACLE, RETABET</t>
  </si>
  <si>
    <t>20BET, BET365, BETSAFE, COOLBET, PINNACLE</t>
  </si>
  <si>
    <t>20BET, BET365, BETSAFE, PINNACLE</t>
  </si>
  <si>
    <t>20BET, BET365, PINNACLE, RUSHBET</t>
  </si>
  <si>
    <t>20BET, BET365, BETSAFE, COOLBET, PINNACLE, RUSHBET</t>
  </si>
  <si>
    <t>20BET, BET365, BETSAFE, PINNACLE, RUSHBET</t>
  </si>
  <si>
    <t>2025-02</t>
  </si>
  <si>
    <t>20BET, PINNACLE, RUSHBET</t>
  </si>
  <si>
    <t>20BET, BET365, BETSAFE, OLIMPOBET, PINNACLE, RUSHBET</t>
  </si>
  <si>
    <t>2025-03</t>
  </si>
  <si>
    <t>2025-04</t>
  </si>
  <si>
    <t>20BET, BET365, BETSAFE, OLIMPOBET, PINNACLE, RUSHBET, STAKE</t>
  </si>
  <si>
    <t>20BET, BET365, OLIMPOBET, PINNACLE, RUSHBET, STAKE</t>
  </si>
  <si>
    <t>20BET, APUESTO.COM, BET365, OLIMPOBET, PINNACLE, RUSHBET, STAKE</t>
  </si>
  <si>
    <t>20BET, BET365, OLIMPOBET, PINNACLE, STAKE</t>
  </si>
  <si>
    <t>20BET, APUESTA TOTAL, BET365, OLIMPOBET, PINNACLE</t>
  </si>
  <si>
    <t>20BET, APUESTA TOTAL, ATLANTIC, BET365, OLIMPOBET, PINNACLE</t>
  </si>
  <si>
    <t>2025-05</t>
  </si>
  <si>
    <t>20BET, APUESTA TOTAL, BET365, BETSAFE, OLIMPOBET, PINNACLE</t>
  </si>
  <si>
    <t>20BET, ATLANTIC, BET365, BETSAFE, OLIMPOBET, PINNACLE</t>
  </si>
  <si>
    <t>20BET, ATLANTIC, BET365, OLIMPOBET, PINNACLE</t>
  </si>
  <si>
    <t>20BET, APUESTA TOTAL, BET365, BETSAFE, DORADO, OLIMPOBET, PINNACLE</t>
  </si>
  <si>
    <t>20BET, BET365, BETSAFE, DORADO, OLIMPOBET, PINNACLE</t>
  </si>
  <si>
    <t>20BET, APUESTA TOTAL, BETSAFE, OLIMPOBET, PINNACLE</t>
  </si>
  <si>
    <t>20BET, APUESTA TOTAL, BETSAFE, BETSSON, OLIMPOBET, PINNACLE</t>
  </si>
  <si>
    <t>2025-06</t>
  </si>
  <si>
    <t>APUESTA TOTAL, BETSSON, MICASINO, OLIMPOBET, PINNACLE</t>
  </si>
  <si>
    <t>APUESTA TOTAL, BETSSON, MICASINO, OLIMPOBET, PINNACLE, RUSHBET</t>
  </si>
  <si>
    <t>APUESTA TOTAL, BETSSON, MICASINO, OLIMPOBET</t>
  </si>
  <si>
    <t>APUESTA TOTAL, MICASINO, OLIMPOBET</t>
  </si>
  <si>
    <t>APUESTA TOTAL, BETSSON, DORADO, MICASINO, OLIMPOBET</t>
  </si>
  <si>
    <t>APUESTA TOTAL, BETSAFE, BETSSON, DORADO, MICASINO, OLIMPOBET</t>
  </si>
  <si>
    <t>APUESTA TOTAL, ATLANTIC, BETSAFE, BETSSON, DORADO, MICASINO, OLIMPOBET, RUSHBET, STAKE</t>
  </si>
  <si>
    <t>APUESTA TOTAL, APUESTO.COM, ATLANTIC, BETSAFE, BETSSON, DORADO, MICASINO, OLIMPOBET, RUSHBET, STAKE</t>
  </si>
  <si>
    <t>1XBET, APUESTA TOTAL, APUESTO.COM, ATLANTIC, BETSAFE, BETSSON, DORADO, MICASINO, OLIMPOBET, RUSHBET, STAKE</t>
  </si>
  <si>
    <t>2025-07</t>
  </si>
  <si>
    <t>1XBET, APUESTA TOTAL, APUESTO.COM, ATLANTIC, BETSAFE, MICASINO, OLIMPOBET, RUSHBET</t>
  </si>
  <si>
    <t>1XBET, APUESTA TOTAL, APUESTO.COM, ATLANTIC, BETSAFE, MICASINO, OLIMPOBET, RUSHBET, STAKE</t>
  </si>
  <si>
    <t>1XBET, APUESTA TOTAL, ATLANTIC, BETSAFE, MICASINO, OLIMPOBET, RUSHBET</t>
  </si>
  <si>
    <t>1XBET, APUESTA TOTAL, ATLANTIC, MICASINO, OLIMPOBET, RUSHBET</t>
  </si>
  <si>
    <t>1XBET, APUESTA TOTAL, MICASINO, OLIMPOBET, RUSHBET</t>
  </si>
  <si>
    <t>1XBET, APUESTA TOTAL, MICASINO, RUSHBET</t>
  </si>
  <si>
    <t>1XBET, APUESTA TOTAL, RUSHBET</t>
  </si>
  <si>
    <t>1XBET, APUESTA TOTAL, ATLANTIC, INKABET, OLIMPOBET, RUSHBET</t>
  </si>
  <si>
    <t>APUESTA TOTAL, APUESTO.COM, ATLANTIC, BETSAFE, DORADO, INKABET, OLIMPOBET, RUSHBET</t>
  </si>
  <si>
    <t>APUESTA TOTAL, APUESTO.COM, ATLANTIC, DORADO, INKABET, MICASINO, RUSHBET</t>
  </si>
  <si>
    <t>APUESTA TOTAL, DORADO, INKABET, MICASINO, RUSHBET</t>
  </si>
  <si>
    <t>APUESTA TOTAL, APUESTO.COM, ATLANTIC, BET365, BETSAFE, BETSSON, DORADO, INKABET, MICASINO, OLIMPOBET, PINNACLE</t>
  </si>
  <si>
    <t>APUESTA TOTAL, APUESTO.COM, ATLANTIC, BET365, BETSAFE, INKABET, MICASINO, OLIMPOBET, PINNACLE</t>
  </si>
  <si>
    <t>2025-08</t>
  </si>
  <si>
    <t>APUESTA TOTAL, ATLANTIC, BET365, BETSAFE, INKABET, MICASINO, OLIMPOBET, PINNACLE</t>
  </si>
  <si>
    <t>APUESTA TOTAL, ATLANTIC, BET365, BETSSON, OLIMPOBET, PINNACLE</t>
  </si>
  <si>
    <t>APUESTA TOTAL, ATLANTIC, BET365, BETSSON, DORADO, OLIMPOBET, PINNACLE</t>
  </si>
  <si>
    <t>APUESTA TOTAL, BET365, BETSAFE, BETSSON, DORADO, INKABET, MICASINO, OLIMPOBET, PINNACLE</t>
  </si>
  <si>
    <t>APUESTA TOTAL, ATLANTIC, BET365, BETSAFE, BETSSON, DORADO, INKABET, OLIMPOBET, PINNACLE</t>
  </si>
  <si>
    <t>APUESTA TOTAL, ATLANTIC, BET365, BETANO, BETSAFE, BETSSON, DORADO, INKABET, OLIMPOBET, PINNACLE</t>
  </si>
  <si>
    <t>APUESTA TOTAL, ATLANTIC, BET365, BETSAFE, BETSSON, INKABET, MICASINO, OLIMPOBET, PINNACLE</t>
  </si>
  <si>
    <t>ATLANTIC, BET365, DORADO, MICASINO, OLIMPOBET, PINNACLE</t>
  </si>
  <si>
    <t>1XBET, APUESTA TOTAL, BET365, BETSAFE, INKABET, OLIMPOBET, PINNACLE</t>
  </si>
  <si>
    <t>1XBET, APUESTA TOTAL, BET365, BETANO, BETSAFE, DORADO, INKABET, OLIMPOBET, PINNACLE</t>
  </si>
  <si>
    <t>APUESTA TOTAL, ATLANTIC, BET365, BETSAFE, BETSSON, DORADO, INKABET, MICASINO, PINNACLE</t>
  </si>
  <si>
    <t>APUESTA TOTAL, BET365, BETSAFE, BETSSON, MICASINO, PINNACLE</t>
  </si>
  <si>
    <t>APUESTA TOTAL, BET365, BETANO, BETSAFE, BETSSON, DORADO, MICASINO, OLIMPOBET, PINNACLE, RETABET</t>
  </si>
  <si>
    <t>2025-09</t>
  </si>
  <si>
    <t>APUESTA TOTAL, ATLANTIC, BET365, BETANO, BETSAFE, BETSSON, DORADO, INKABET, MICASINO, OLIMPOBET, PINNACLE, RETABET</t>
  </si>
  <si>
    <t>APUESTA TOTAL, BET365, BETANO, BETSAFE, BETSSON, OLIMPOBET, PINNACLE</t>
  </si>
  <si>
    <t>APUESTA TOTAL, ATLANTIC, BET365, BETANO, BETSAFE, BETSSON, DORADO, INKABET, MICASINO, OLIMPOBET, PINNACLE</t>
  </si>
  <si>
    <t>BET365, BETANO, DORADO, MICASINO, OLIMPOBET, PINNACLE</t>
  </si>
  <si>
    <t>APUESTA TOTAL, ATLANTIC, BET365, BETANO, BETSAFE, BETSSON, DORADO, MICASINO, OLIMPOBET, PINNACLE</t>
  </si>
  <si>
    <t>APUESTA TOTAL, ATLANTIC, BET365, BETANO, BETSAFE, BETSSON, DORADO, OLIMPOBET, PINNACLE</t>
  </si>
  <si>
    <t>ATLANTIC, BET365, BETANO, BETSAFE, BETSSON, DORADO, INKABET, OLIMPOBET, PINNACLE, RETABET</t>
  </si>
  <si>
    <t>ATLANTIC, BET365, BETANO, BETSSON, DORADO, INKABET, MICASINO, OLIMPOBET, PINNACLE</t>
  </si>
  <si>
    <t>2025-10</t>
  </si>
  <si>
    <t>APUESTA TOTAL, ATLANTIC, BETANO, BETSAFE, BETSSON, DORADO, INKABET, OLIMPOBET, PINNACLE</t>
  </si>
  <si>
    <t>BET365, BETANO, DORADO, PINNACLE</t>
  </si>
  <si>
    <t>APUESTA TOTAL, ATLANTIC, BET365, BETANO, BETSAFE, BETSSON, DORADO, INKABET, OLIMPOBET, PINNACLE, RETABET</t>
  </si>
  <si>
    <t>APUESTA TOTAL, BET365, BETANO, INKABET, OLIMPOBET, PINNACLE, RETABET</t>
  </si>
  <si>
    <t>ATLANTIC, BET365, BETANO, MICASINO, OLIMPOBET, PINNACLE</t>
  </si>
  <si>
    <t>APUESTA TOTAL, ATLANTIC, BET365, BETANO, BETSAFE, BETSSON, INKABET, OLIMPOBET, PINNACLE</t>
  </si>
  <si>
    <t>APUESTA TOTAL, ATLANTIC, BET365, BETANO, BETSAFE, BETSSON, INKABET, MICASINO, OLIMPOBET, PINNACLE</t>
  </si>
  <si>
    <t>APUESTA TOTAL, ATLANTIC, BET365, BETANO, BETSAFE, DORADO, INKABET, MICASINO, OLIMPOBET, PINNACLE</t>
  </si>
  <si>
    <t>20BET, APUESTA TOTAL, BET365, BETANO, BETSAFE, DORADO, INKABET, MICASINO, OLIMPOBET, PINNACLE</t>
  </si>
  <si>
    <t>20BET, APUESTA TOTAL, BET365, BETANO, BETSAFE, BETSSON, MICASINO, OLIMPOBET, PINNACLE</t>
  </si>
  <si>
    <t>20BET, APUESTA TOTAL, ATLANTIC, BET365, BETANO, BETSAFE, BETSSON, DORADO, INKABET, MICASINO, OLIMPOBET, PINNACLE</t>
  </si>
  <si>
    <t>20BET, APUESTA TOTAL, ATLANTIC, BET365, BETANO, BETSAFE, BETSSON, DORADO, INKABET, PINNACLE</t>
  </si>
  <si>
    <t>20BET, APUESTA TOTAL, ATLANTIC, BET365, BETANO, DORADO, PINNACLE</t>
  </si>
  <si>
    <t>20BET, APUESTA TOTAL, ATLANTIC, BET365, BETANO, BETSAFE, OLIMPOBET, PINNACLE</t>
  </si>
  <si>
    <t>20BET, APUESTA TOTAL, ATLANTIC, BET365, BETANO, BETSAFE, DORADO, OLIMPOBET, PINNACLE</t>
  </si>
  <si>
    <t>2025-11</t>
  </si>
  <si>
    <t>20BET, ATLANTIC, BET365, BETANO, BETSAFE, BETSSON, DORADO, INKABET, OLIMPOBET, PINNACLE</t>
  </si>
  <si>
    <t>20BET, APUESTA TOTAL, BET365, BETANO, DORADO, INKABET, OLIMPOBET, PINNACLE</t>
  </si>
  <si>
    <t>20BET, APUESTA TOTAL, ATLANTIC, BETANO, BETSAFE, BETSSON, DORADO, OLIMPOBET, PINNACLE</t>
  </si>
  <si>
    <t>20BET, ATLANTIC, BETANO, BETSAFE, INKABET, MICASINO, PINNACLE</t>
  </si>
  <si>
    <t>20BET, ATLANTIC, BETANO, BETSAFE, BETSSON, PINNACLE</t>
  </si>
  <si>
    <t>20BET, BETANO, BETSAFE, DORADO, INKABET, PINNACLE</t>
  </si>
  <si>
    <t>20BET, BET365, BETANO, OLIMPOBET, PINNACLE</t>
  </si>
  <si>
    <t>20BET, APUESTA TOTAL, BET365, BETANO, BETSAFE, DORADO, INKABET, OLIMPOBET, PINNACLE</t>
  </si>
  <si>
    <t>20BET, APUESTA TOTAL, ATLANTIC, BETSSON, INKABET, OLIMPOBET, PINNACLE</t>
  </si>
  <si>
    <t>20BET, APUESTA TOTAL, ATLANTIC, BETSAFE, BETSSON, DORADO, PINNACLE</t>
  </si>
  <si>
    <t>20BET, ATLANTIC, BET365, BETANO, BETSAFE, OLIMPOBET, PINNACLE</t>
  </si>
  <si>
    <t>APUESTA TOTAL, ATLANTIC, BET365, BETSAFE, BETSSON, DORADO, MICASINO, OLIMPOBET, PINNACLE</t>
  </si>
  <si>
    <t>ATLANTIC, BET365, BETANO, BETSAFE, INKABET, MICASINO, PINNACLE</t>
  </si>
  <si>
    <t>ATLANTIC, BET365, BETSAFE, INKABET, MICASINO, PINNACLE</t>
  </si>
  <si>
    <t>2025-12</t>
  </si>
  <si>
    <t>APUESTA TOTAL, ATLANTIC, BET365, BETANO, BETSAFE, BETSSON, DORADO, INKABET, PINNACLE</t>
  </si>
  <si>
    <t>APUESTA TOTAL, BET365, BETSAFE, BETSSON, DORADO, INKABET, PINNACLE</t>
  </si>
  <si>
    <t>APUESTA TOTAL, ATLANTIC, BET365, BETANO, BETSAFE, BETSSON, INKABET, PINNACLE</t>
  </si>
  <si>
    <t>APUESTA TOTAL, ATLANTIC, BET365, BETANO, BETSSON, DORADO, INKABET, PINNACLE</t>
  </si>
  <si>
    <t>20BET, ATLANTIC, BET365, BETANO, BETCRIS, BETSAFE, BETSSON, COOLBET, DORADO, GANAEXPRESS, INKABET, MERIDIANBET, MICASINO, OLIMPOBET, PINNACLE, TINBET</t>
  </si>
  <si>
    <t>20BET, ATLANTIC, BET365, BETANO, BETCRIS, COOLBET, DORADO, GANAEXPRESS, INKABET, MERIDIANBET, MICASINO, OLIMPOBET, PINNACLE, TINBET</t>
  </si>
  <si>
    <t>20BET, ATLANTIC, BET365, BETANO, BETCRIS, COOLBET, DORADO, GANAEXPRESS, INKABET, MERIDIANBET, OLIMPOBET, PINNACLE, TINBET</t>
  </si>
  <si>
    <t>20BET, ATLANTIC, BET365, BETANO, BETCRIS, COOLBET, DORADO, GANAEXPRESS, INKABET, MERIDIANBET, MICASINO, PINNACLE, RETABET, TINBET</t>
  </si>
  <si>
    <t>20BET, BET365, BETANO, BETCRIS, COOLBET, DORADO, INKABET, MERIDIANBET, MICASINO, PINNACLE, TINBET</t>
  </si>
  <si>
    <t>20BET, BET365, BETANO, BETCRIS, DORADO, INKABET, MERIDIANBET, PINNACLE, TINBET</t>
  </si>
  <si>
    <t>20BET, BET365, BETANO, BETCRIS, BETSAFE, DORADO, INKABET, MERIDIANBET, OLIMPOBET, PINNACLE, TINBET</t>
  </si>
  <si>
    <t>20BET, BET365, BETANO, BETCRIS, BETSAFE, INKABET, MERIDIANBET, OLIMPOBET, PINNACLE, TINBET</t>
  </si>
  <si>
    <t>20BET, ATLANTIC, BET365, BETCRIS, BETSSON, INKABET, MERIDIANBET, OLIMPOBET, PINNACLE, TINBET</t>
  </si>
  <si>
    <t>20BET, ATLANTIC, BET365, BETANO, BETCRIS, BETSSON, COOLBET, INKABET, MERIDIANBET, OLIMPOBET, PINNACLE, TINBET</t>
  </si>
  <si>
    <t>20BET, ATLANTIC, BET365, BETANO, BETCRIS, COOLBET, DORADO, INKABET, MERIDIANBET, OLIMPOBET, PINNACLE, TINBET</t>
  </si>
  <si>
    <t>20BET, BET365, BETANO, DORADO, INKABET, MERIDIANBET, OLIMPOBET, PINNACLE, TINBET</t>
  </si>
  <si>
    <t>2026-01</t>
  </si>
  <si>
    <t>20BET, BET365, BETANO, BETCRIS, COOLBET, DORADO, MICASINO, PINNACLE, TINBET</t>
  </si>
  <si>
    <t>20BET, BET365, BETCRIS, MERIDIANBET, MICASINO, PINNACLE, RETABET, TINBET</t>
  </si>
  <si>
    <t>20BET, APUESTA TOTAL, ATLANTIC, BETCRIS, BETSAFE, BETSSON, COOLBET, MERIDIANBET, PINNACLE, TINBET</t>
  </si>
  <si>
    <t>20BET, APUESTA TOTAL, ATLANTIC, BET365, BETANO, BETCRIS, BETSAFE, COOLBET, DORADO, INKABET, MERIDIANBET, OLIMPOBET, PINNACLE, TINBET</t>
  </si>
  <si>
    <t>20BET, ATLANTIC, BET365, BETANO, BETCRIS, BETSAFE, BETSSON, COOLBET, MERIDIANBET, MICASINO, OLIMPOBET, PINNACLE</t>
  </si>
  <si>
    <t>20BET, ATLANTIC, BET365, BETANO, BETCRIS, BETSSON, COOLBET, INKABET, MERIDIANBET, MICASINO, OLIMPOBET, PINNACLE</t>
  </si>
  <si>
    <t>20BET, BET365, BETANO, BETCRIS, BETSSON, COOLBET, INKABET, MERIDIANBET, OLIMPOBET, PINNACLE</t>
  </si>
  <si>
    <t>20BET, ATLANTIC, BET365, BETANO, BETSSON, COOLBET, INKABET, MERIDIANBET, OLIMPOBET, PINNACLE</t>
  </si>
  <si>
    <t>20BET, ATLANTIC, BET365, BETANO, BETSAFE, COOLBET, MERIDIANBET, MICASINO, OLIMPOBET, PINNACLE</t>
  </si>
  <si>
    <t>20BET, BET365, BETANO, INKABET, MERIDIANBET, MICASINO, OLIMPOBET, PINNACLE</t>
  </si>
  <si>
    <t>20BET, BET365, BETANO, BETCRIS, DORADO, INKABET, MERIDIANBET, MICASINO, OLIMPOBET, PINNACLE</t>
  </si>
  <si>
    <t>20BET, ATLANTIC, BET365, BETANO, BETCRIS, BETSAFE, DORADO, MERIDIANBET, PINNACLE</t>
  </si>
  <si>
    <t>20BET, ATLANTIC, BET365, BETANO, BETCRIS, BETSAFE, BETSSON, INKABET, MERIDIANBET, MICASINO, OLIMPOBET, PINNACLE</t>
  </si>
  <si>
    <t>20BET, BETANO, BETCRIS, BETSAFE, BETSSON, MERIDIANBET, MICASINO, OLIMPOBET, PINNACLE</t>
  </si>
  <si>
    <t>20BET, BETANO, BETCRIS, BETSAFE, COOLBET, MERIDIANBET, OLIMPOBET, PINNACLE, TINBET</t>
  </si>
  <si>
    <t>20BET, ATLANTIC, BETANO, BETCRIS, BETSAFE, BETSSON, COOLBET, DORADO, OLIMPOBET, PINNACLE</t>
  </si>
  <si>
    <t>20BET, ATLANTIC, BETCRIS, BETSAFE, DORADO, OLIMPOBET, PINNACLE</t>
  </si>
  <si>
    <t>20BET, ATLANTIC, BETCRIS, BETSAFE, COOLBET, DORADO, OLIMPOBET, PINNACLE</t>
  </si>
  <si>
    <t>20BET, ATLANTIC, BET365, BETANO, BETCRIS, BETSAFE, COOLBET, DORADO, OLIMPOBET, PINNACLE</t>
  </si>
  <si>
    <t>20BET, ATLANTIC, BET365, BETANO, BETCRIS, BETSAFE, BETSSON, COOLBET, DORADO, MICASINO, OLIMPOBET, PINNACLE</t>
  </si>
  <si>
    <t>20BET, BET365, BETANO, BETCRIS, BETSAFE, BETSSON, COOLBET, DORADO, MICASINO, OLIMPOBET, PINNACLE</t>
  </si>
  <si>
    <t>2026-02</t>
  </si>
  <si>
    <t>20BET, ATLANTIC, BET365, BETANO, BETCRIS, BETSAFE, BETSSON, COOLBET, DORADO, INKABET, MICASINO, PINNACLE</t>
  </si>
  <si>
    <t>20BET, BET365, BETANO, BETCRIS, INKABET, MICASINO, PINNACLE</t>
  </si>
  <si>
    <t>ATLANTIC, BET365, BETANO, BETCRIS, BETSSON, INKABET, MICASINO, PINNACLE</t>
  </si>
  <si>
    <t>BET365, BETANO, BETCRIS, BETSSON, INKABET, MICASINO, PINNACLE</t>
  </si>
  <si>
    <t>20BET, BETANO, BETCRIS, BETSSON, INKABET, MICASINO, PINNACLE</t>
  </si>
  <si>
    <t>20BET, BET365, BETANO, BETCRIS, INKABET, PINNACLE, RETABET</t>
  </si>
  <si>
    <t>20BET, BET365, BETANO, BETCRIS, INKABET, PALMSBET, PINNACLE, RETABET</t>
  </si>
  <si>
    <t>20BET, BETANO, INKABET, PALMSBET, PINNACLE</t>
  </si>
  <si>
    <t>20BET, BETANO, BETCRIS, BETSAFE, DORADO, INKABET, PALMSBET, PINNACLE</t>
  </si>
  <si>
    <t>20BET, ATLANTIC, BETANO, BETSAFE, DORADO, INKABET, PALMSBET, PINNACLE</t>
  </si>
  <si>
    <t>20BET, ATLANTIC, BETANO, BETCRIS, BETSAFE, COOLBET, DORADO, INKABET, MERIDIANBET, PALMSBET, PINNACLE, TINBET</t>
  </si>
  <si>
    <t>20BET, BETANO, BETCRIS, BETSAFE, COOLBET, DORADO, MERIDIANBET, MICASINO, PALMSBET, PINNACLE</t>
  </si>
  <si>
    <t>20BET, ATLANTIC, BETANO, BETCRIS, BETSAFE, BETSSON, COOLBET, DORADO, INKABET, MERIDIANBET, MICASINO, PALMSBET, PINNACLE, TINBET</t>
  </si>
  <si>
    <t>20BET, ATLANTIC, BETANO, BETCRIS, BETSAFE, BETSSON, COOLBET, DORADO, INKABET, JEL, MERIDIANBET, PINNACLE, TINBET</t>
  </si>
  <si>
    <t>20BET, ATLANTIC, BETANO, BETCRIS, BETSAFE, BETSSON, COOLBET, INKABET, JEL, MERIDIANBET, PINNACLE, TINBET</t>
  </si>
  <si>
    <t>20BET, ATLANTIC, BETANO, BETCRIS, BETSSON, COOLBET, INKABET, JEL, MERIDIANBET, PINNACLE, TINBET</t>
  </si>
  <si>
    <t>2026-03</t>
  </si>
  <si>
    <t>20BET, BETANO, BETCRIS, BETSAFE, COOLBET, DORADO, INKABET, PINNACLE, RUSHBET, TINBET</t>
  </si>
  <si>
    <t>20BET, APUESTA TOTAL, APUESTO.COM, BET365, BETANO, BETCRIS, BETSAFE, CLOUDBET, COOLBET, DORADO, OLIMPOBET, PINNACLE, ROOBET, RUSHBET, TINBET</t>
  </si>
  <si>
    <t>20BET, APUESTA TOTAL, APUESTO.COM, BET365, BETANO, BETCRIS, BETSAFE, CLOUDBET, COOLBET, DORADO, MERIDIANBET, OLIMPOBET, PINNACLE, ROOBET, RUSHBET, TINBET</t>
  </si>
  <si>
    <t>20BET, APUESTA TOTAL, APUESTO.COM, ATLANTIC, BET365, BETANO, BETSAFE, BETSSON, CLOUDBET, COOLBET, DORADO, INKABET, MERIDIANBET, MICASINO, OLIMPOBET, PINNACLE, ROOBET, RUSHBET, TINBET</t>
  </si>
  <si>
    <t>APUESTA TOTAL, APUESTO.COM, ATLANTIC, BET365, BETANO, BETCRIS, BETSAFE, BETSSON, CLOUDBET, COOLBET, DORADO, INKABET, MERIDIANBET, MICASINO, OLIMPOBET, PINNACLE, ROOBET, RUSHBET, TINBET</t>
  </si>
  <si>
    <t>APUESTA TOTAL, APUESTO.COM, ATLANTIC, BET365, BETANO, BETCRIS, BETSAFE, BETSSON, CLOUDBET, COOLBET, INKABET, MERIDIANBET, MICASINO, OLIMPOBET, PINNACLE, ROOBET, RUSHBET, TINBET</t>
  </si>
  <si>
    <t>APUESTA TOTAL, APUESTO.COM, ATLANTIC, BET365, BETANO, BETCRIS, BETSAFE, BETSSON, CLOUDBET, COOLBET, INKABET, MERIDIANBET, OLIMPOBET, PINNACLE, ROOBET, RUSHBET, SPORTMARKET, STAKE, TINBET</t>
  </si>
  <si>
    <t>APUESTA TOTAL, APUESTO.COM, ATLANTIC, BET365, BETANO, BETCRIS, BETSAFE, CLOUDBET, COOLBET, INKABET, MERIDIANBET, OLIMPOBET, PINNACLE, ROOBET, RUSHBET, SPORTMARKET, STAKE, TINBET</t>
  </si>
  <si>
    <t>APUESTA TOTAL, APUESTO.COM, ATLANTIC, BET365, BETANO, BETCRIS, BETSAFE, CLOUDBET, COOLBET, GANAEXPRESS, INKABET, MERIDIANBET, OLIMPOBET, PINNACLE, ROOBET, RUSHBET, SPORTMARKET, TINBET</t>
  </si>
  <si>
    <t>APUESTA TOTAL, APUESTO.COM, ATLANTIC, BET365, BETANO, BETSAFE, CLOUDBET, COOLBET, GANAEXPRESS, INKABET, MERIDIANBET, OLIMPOBET, PINNACLE, ROOBET, RUSHBET, SPORTMARKET, TINBET</t>
  </si>
  <si>
    <t>APUESTA TOTAL, APUESTO.COM, ATLANTIC, BETANO, BETSAFE, CLOUDBET, COOLBET, GANAEXPRESS, INKABET, MERIDIANBET, OLIMPOBET, PINNACLE, ROOBET, RUSHBET, SPORTMARKET, TINBET</t>
  </si>
  <si>
    <t>APUESTA TOTAL, APUESTO.COM, ATLANTIC, BET365, BETANO, CLOUDBET, COOLBET, GANAEXPRESS, MERIDIANBET, OLIMPOBET, PINNACLE, ROOBET, RUSHBET, SPORTMARKET, TINBET</t>
  </si>
  <si>
    <t>APUESTA TOTAL, ATLANTIC, BET365, BETANO, CLOUDBET, COOLBET, GANAEXPRESS, MERIDIANBET, OLIMPOBET, PINNACLE, ROOBET, RUSHBET, SPORTMARKET, TINBET</t>
  </si>
  <si>
    <t>APUESTA TOTAL, ATLANTIC, BET365, BETANO, BETCRIS, CLOUDBET, COOLBET, GANAEXPRESS, MERIDIANBET, OLIMPOBET, PINNACLE, ROOBET, RUSHBET, SPORTMARKET, TINBET</t>
  </si>
  <si>
    <t>ATLANTIC, BETANO, CLOUDBET, GANAEXPRESS, MERIDIANBET, PINNACLE, ROOBET, RUSHBET, TINBET</t>
  </si>
  <si>
    <t>APUESTA TOTAL, APUESTO.COM, ATLANTIC, BET365, BETANO, BETCRIS, BETSAFE, CLOUDBET, COOLBET, DORADO, GANAEXPRESS, MERIDIANBET, PINNACLE, ROOBET, RUSHBET, SPORTMARKET</t>
  </si>
  <si>
    <t>2026-04</t>
  </si>
  <si>
    <t>20BET, APUESTA TOTAL, APUESTO.COM, ATLANTIC, BET365, BETANO, BETCRIS, BETSAFE, BETSSON, CLOUDBET, COOLBET, DORADO, GANAEXPRESS, MERIDIANBET, PINNACLE, ROOBET, RUSHBET, SPORTMARKET, STAKE</t>
  </si>
  <si>
    <t>20BET, APUESTA TOTAL, APUESTO.COM, ATLANTIC, BET365, BETANO, BETCRIS, BETSAFE, BETSSON, CLOUDBET, COOLBET, DORADO, GANAEXPRESS, INKABET, MERIDIANBET, MICASINO, PINNACLE, ROOBET, RUSHBET, SPORTMARKET, STAKE</t>
  </si>
  <si>
    <t>20BET, APUESTA TOTAL, APUESTO.COM, ATLANTIC, BET365, BETCRIS, BETSAFE, BETSSON, CLOUDBET, COOLBET, DORADO, INKABET, MERIDIANBET, MICASINO, PINNACLE, ROOBET, RUSHBET, SPORTMARKET, STAKE</t>
  </si>
  <si>
    <t>20BET, APUESTA TOTAL, APUESTO.COM, ATLANTIC, BET365, BETCRIS, BETSAFE, BETSSON, CLOUDBET, COOLBET, DORADO, INKABET, MASTERSBET365, MERIDIANBET, MICASINO, PINNACLE, ROOBET, RUSHBET, SOMOSCASINO, SPORTMARKET, STAKE</t>
  </si>
  <si>
    <t>20BET, APUESTA TOTAL, APUESTO.COM, ATLANTIC, BET365, BETCRIS, BETSAFE, BETSSON, CLOUDBET, COOLBET, DORADO, GANAEXPRESS, INKABET, MASTERSBET365, MERIDIANBET, PINNACLE, ROOBET, RUSHBET, SOMOSCASINO, SPORTMARKET, STAKE, TINBET</t>
  </si>
  <si>
    <t>20BET, APUESTA TOTAL, APUESTO.COM, ATLANTIC, BET365, BETANO, BETCRIS, BETSAFE, BETSSON, CLOUDBET, COOLBET, DORADO, GANAEXPRESS, MASTERSBET365, MERIDIANBET, OLIMPOBET, PINNACLE, ROOBET, RUSHBET, SOMOSCASINO, STAKE, TINBET</t>
  </si>
  <si>
    <t>20BET, APUESTA TOTAL, APUESTO.COM, ATLANTIC, BET365, BETANO, BETCRIS, BETSAFE, BETSSON, CLOUDBET, COOLBET, DORADO, GANAEXPRESS, MASTERSBET365, MERIDIANBET, OLIMPOBET, PALMSBET, PINNACLE, ROOBET, RUSHBET, SOMOSCASINO, STAKE, TINBET</t>
  </si>
  <si>
    <t>20BET, APUESTA TOTAL, APUESTO.COM, ATLANTIC, BET365, BETANO, BETCRIS, BETSAFE, BETSSON, CLOUDBET, COOLBET, DORADO, MASTERSBET365, MERIDIANBET, OLIMPOBET, PALMSBET, PINNACLE, ROOBET, RUSHBET, STAKE, TINBET</t>
  </si>
  <si>
    <t>20BET, APUESTA TOTAL, APUESTO.COM, ATLANTIC, BET365, BETANO, BETCRIS, BETSAFE, BETSSON, CLOUDBET, DORADO, MICASINO, PALMSBET, PINNACLE, ROOBET, RUSHBET, STAKE, TINBET</t>
  </si>
  <si>
    <t>20BET, APUESTA TOTAL, APUESTO.COM, ATLANTIC, BET365, BETANO, BETCRIS, BETSAFE, BETSSON, CLOUDBET, COOLBET, DORADO, MERIDIANBET, MICASINO, PALMSBET, PINNACLE, ROOBET, RUSHBET, STAKE, TINBET</t>
  </si>
  <si>
    <t>20BET, APUESTA TOTAL, APUESTO.COM, ATLANTIC, BET365, BETANO, BETCRIS, BETSAFE, BETSSON, CLOUDBET, COOLBET, DORADO, MERIDIANBET, MICASINO, OLIMPOBET, PALMSBET, PINNACLE, ROOBET, RUSHBET, STAKE, TINBET</t>
  </si>
  <si>
    <t>20BET, APUESTA TOTAL, APUESTO.COM, ATLANTIC, BET365, BETANO, BETCRIS, BETSAFE, BETSSON, CLOUDBET, COOLBET, DORADO, MERIDIANBET, MICASINO, OLIMPOBET, PINNACLE, ROOBET, RUSHBET, STAKE</t>
  </si>
  <si>
    <t>20BET, APUESTA TOTAL, APUESTO.COM, ATLANTIC, BET365, BETANO, BETSAFE, BETSSON, CLOUDBET, COOLBET, DORADO, MERIDIANBET, PALMSBET, PINNACLE, ROOBET, RUSHBET, SOMOSCASINO, STAKE</t>
  </si>
  <si>
    <t>2026-05</t>
  </si>
  <si>
    <t>20BET, APUESTA TOTAL, APUESTO.COM, ATLANTIC, BET365, BETANO, BETSAFE, BETSSON, CLOUDBET, COOLBET, DORADO, INKABET, MASTERSBET365, MERIDIANBET, PALMSBET, PINNACLE, ROOBET, RUSHBET, SOMOSCASINO, STAKE</t>
  </si>
  <si>
    <t>20BET, APUESTA TOTAL, APUESTO.COM, ATLANTIC, BETANO, BETSAFE, BETSSON, CLOUDBET, COOLBET, DORADO, INKABET, MASTERSBET365, PALMSBET, PINNACLE, ROOBET, RUSHBET, SOMOSCASINO, STAKE</t>
  </si>
  <si>
    <t>20BET, APUESTA TOTAL, APUESTO.COM, ATLANTIC, BETANO, BETCRIS, BETSAFE, BETSSON, CLOUDBET, COOLBET, DORADO, INKABET, MERIDIANBET, PINNACLE, ROOBET, SOMOSCASINO, STAKE</t>
  </si>
  <si>
    <t>20BET, APUESTA TOTAL, APUESTO.COM, ATLANTIC, BETANO, BETCRIS, BETSAFE, BETSSON, CLOUDBET, COOLBET, DORADO, MERIDIANBET, PINNACLE, ROOBET, STAKE</t>
  </si>
  <si>
    <t>20BET, APUESTA TOTAL, APUESTO.COM, ATLANTIC, BETANO, BETCRIS, BETSAFE, BETSSON, CLOUDBET, COOLBET, DORADO, MERIDIANBET, PINNACLE, RETABET, ROOBET, STAKE</t>
  </si>
  <si>
    <t>20BET, APUESTA TOTAL, APUESTO.COM, ATLANTIC, BETANO, BETSAFE, BETSSON, CLOUDBET, COOLBET, DORADO, MERIDIANBET, MICASINO, PINNACLE, RETABET, ROOBET, STAKE</t>
  </si>
  <si>
    <t>20BET, APUESTA TOTAL, ATLANTIC, BETANO, BETSAFE, BETSSON, CLOUDBET, COOLBET, DORADO, MERIDIANBET, MICASINO, PINNACLE, RETABET, ROOBET, STAKE</t>
  </si>
  <si>
    <t>20BET, APUESTA TOTAL, ATLANTIC, BETANO, BETSAFE, BETSSON, CLOUDBET, COOLBET, DORADO, MERIDIANBET, PINNACLE, RETABET, ROOBET, STAKE</t>
  </si>
  <si>
    <t>20BET, APUESTA TOTAL, ATLANTIC, BETANO, BETSAFE, BETSSON, CLOUDBET, COOLBET, DORADO, INKABET, PINNACLE, ROOBET, STAKE</t>
  </si>
  <si>
    <t>20BET, APUESTA TOTAL, ATLANTIC, BETANO, BETSAFE, BETSSON, CLOUDBET, DORADO, PINNACLE, ROOBET, STAKE</t>
  </si>
  <si>
    <t>20BET, APUESTA TOTAL, ATLANTIC, BETANO, BETCRIS, BETSAFE, BETSSON, CLOUDBET, COOLBET, DORADO, INKABET, MERIDIANBET, PINNACLE, ROOBET, STAKE</t>
  </si>
  <si>
    <t>20BET, APUESTA TOTAL, APUESTO.COM, ATLANTIC, BETANO, BETCRIS, BETSAFE, BETSSON, CLOUDBET, COOLBET, DORADO, INKABET, MERIDIANBET, PINNACLE, ROOBET</t>
  </si>
  <si>
    <t>20BET, APUESTA TOTAL, APUESTO.COM, ATLANTIC, BET365, BETANO, BETCRIS, BETSAFE, BETSSON, CLOUDBET, COOLBET, DORADO, INKABET, MERIDIANBET, PINNACLE, ROOBET</t>
  </si>
  <si>
    <t>20BET, APUESTA TOTAL, APUESTO.COM, ATLANTIC, BET365, BETANO, BETCRIS, BETSAFE, BETSSON, CLOUDBET, COOLBET, DORADO, INKABET, MERIDIANBET, MICASINO, PINNACLE, ROOBET</t>
  </si>
  <si>
    <t>20BET, APUESTA TOTAL, APUESTO.COM, ATLANTIC, BET365, BETANO, BETCRIS, BETSAFE, BETSSON, CLOUDBET, COOLBET, INKABET, MERIDIANBET, MICASINO, PINNACLE, ROOBET</t>
  </si>
  <si>
    <t>2026-06</t>
  </si>
  <si>
    <t>20BET, APUESTA TOTAL, APUESTO.COM, BET365, BETANO, BETCRIS, BETSAFE, BETSSON, CLOUDBET, COOLBET, INKABET, MERIDIANBET, PINNACLE, ROOBET</t>
  </si>
  <si>
    <t>20BET, APUESTA TOTAL, BET365, BETANO, BETCRIS, BETSAFE, BETSSON, CLOUDBET, COOLBET, INKABET, MERIDIANBET, PINNACLE</t>
  </si>
  <si>
    <t>20BET, APUESTA TOTAL, BETANO, BETCRIS, BETSAFE, CLOUDBET, COOLBET, INKABET, MERIDIANBET, PINNACLE</t>
  </si>
  <si>
    <t>20BET, APUESTA TOTAL, BETANO, BETCRIS, BETSAFE, CLOUDBET, INKABET, MERIDIANBET, PINNACLE</t>
  </si>
  <si>
    <t>20BET, BETANO, CLOUDBET, MERIDIANBET, PINNACLE</t>
  </si>
  <si>
    <t>20BET, APUESTA TOTAL, BET365, BETANO, BETCRIS, CLOUDBET, COOLBET, DORADO, MERIDIANBET, PINNACLE</t>
  </si>
  <si>
    <t>20BET, APUESTA TOTAL, APUESTO.COM, BET365, BETANO, BETCRIS, CLOUDBET, COOLBET, DORADO, INKABET, MERIDIANBET, PINNACLE</t>
  </si>
  <si>
    <t>20BET, APUESTA TOTAL, APUESTO.COM, BET365, BETANO, BETCRIS, BETSAFE, CLOUDBET, COOLBET, DORADO, INKABET, MERIDIANBET, MICASINO, PINNACLE</t>
  </si>
  <si>
    <t>20BET, APUESTA TOTAL, ATLANTIC, BET365, BETANO, BETCRIS, BETSAFE, CLOUDBET, COOLBET, INKABET, MERIDIANBET, MICASINO, PINNACLE, TINBET</t>
  </si>
  <si>
    <t>20BET, APUESTA TOTAL, ATLANTIC, BET365, BETANO, BETSAFE, CLOUDBET, COOLBET, INKABET, MERIDIANBET, PINNACLE, TINBET</t>
  </si>
  <si>
    <t>20BET, APUESTA TOTAL, BETANO, BETCRIS, BETSAFE, CLOUDBET, COOLBET, INKABET, MERIDIANBET, MICASINO, PINNACLE, TINBET</t>
  </si>
  <si>
    <t>20BET, APUESTA TOTAL, APUESTO.COM, BETANO, BETCRIS, BETSAFE, BETSSON, CLOUDBET, COOLBET, INKABET, LA FIJA, MERIDIANBET, MICASINO, PINNACLE, TINBET</t>
  </si>
  <si>
    <t>APUESTA TOTAL, APUESTO.COM, BETANO, BETCRIS, BETSSON, CLOUDBET, COOLBET, INKABET, LA FIJA, MERIDIANBET, MICASINO, PINNACLE, TINBET</t>
  </si>
  <si>
    <t>APUESTA TOTAL, BETANO, BETCRIS, BETSAFE, CLOUDBET, COOLBET, LA FIJA, MERIDIANBET, MICASINO, PALMSBET, PINNACLE, SOMOSCASINO, TINBET</t>
  </si>
  <si>
    <t>APUESTA TOTAL, BETANO, BETCRIS, BETSAFE, CLOUDBET, COOLBET, DORADO, MERIDIANBET, MICASINO, PALMSBET, PINNACLE, SOMOSCASINO, TINBET</t>
  </si>
  <si>
    <t>APUESTA TOTAL, BETANO, CLOUDBET, COOLBET, DORADO, INKABET, MERIDIANBET, MICASINO, PALMSBET, PINNACLE, SOMOSCASINO</t>
  </si>
  <si>
    <t>APUESTA TOTAL, BETANO, BETCRIS, BETSAFE, BETSSON, CLOUDBET, COOLBET, DORADO, INKABET, MERIDIANBET, MICASINO, PALMSBET, PINNACLE, SOMOSCASINO</t>
  </si>
  <si>
    <t>APUESTA TOTAL, BETANO, BETSAFE, CLOUDBET, COOLBET, DORADO, MERIDIANBET, MICASINO, PALMSBET, PINNACLE, SOMOSCASINO</t>
  </si>
  <si>
    <t>TOTAL</t>
  </si>
  <si>
    <t>MONTHLY PERFORMANCE</t>
  </si>
  <si>
    <t>Avg Deployed (S/)</t>
  </si>
  <si>
    <t>ROI on Deployed</t>
  </si>
  <si>
    <t>Cumulative P&amp;L (S/)</t>
  </si>
  <si>
    <t>2024-11  (partial)</t>
  </si>
  <si>
    <t>INSTITUTIONAL METRICS</t>
  </si>
  <si>
    <t>Nov 2024 – Jun 2026 · 413 sessions · 20 months</t>
  </si>
  <si>
    <t>PROFITABILITY</t>
  </si>
  <si>
    <t>Gross gaming profit net of losses, pre-expenses/tax</t>
  </si>
  <si>
    <t>Net P&amp;L (USD)</t>
  </si>
  <si>
    <t>Converted at PEN/USD 3.40 (Jul 2026)</t>
  </si>
  <si>
    <t>Total sessions</t>
  </si>
  <si>
    <t>Individual daily operating sessions</t>
  </si>
  <si>
    <t>Months tracked</t>
  </si>
  <si>
    <t>Nov 2024 – Jun 2026 (Nov 2024 partial)</t>
  </si>
  <si>
    <t>Positive months</t>
  </si>
  <si>
    <t>Every calendar month net positive</t>
  </si>
  <si>
    <t>RETURN &amp; EFFICIENCY</t>
  </si>
  <si>
    <t>Avg monthly ROI (on deployed capital)</t>
  </si>
  <si>
    <t>Mean of 19 full monthly returns on working capital</t>
  </si>
  <si>
    <t>Median monthly ROI</t>
  </si>
  <si>
    <t>Median of monthly returns</t>
  </si>
  <si>
    <t>Avg working capital deployed (S/)</t>
  </si>
  <si>
    <t>Mean capital at risk per session</t>
  </si>
  <si>
    <t>Capital rotation</t>
  </si>
  <si>
    <t>2–3× / month</t>
  </si>
  <si>
    <t>Working capital cycled per month</t>
  </si>
  <si>
    <t>Avg return per session</t>
  </si>
  <si>
    <t>Mean session-level return on deployed capital</t>
  </si>
  <si>
    <t>Median return per session</t>
  </si>
  <si>
    <t>Median session-level return</t>
  </si>
  <si>
    <t>WIN / LOSS PROFILE</t>
  </si>
  <si>
    <t>Win rate</t>
  </si>
  <si>
    <t>Share of sessions with positive P&amp;L</t>
  </si>
  <si>
    <t>Winning sessions</t>
  </si>
  <si>
    <t>Sessions net positive</t>
  </si>
  <si>
    <t>Losing sessions</t>
  </si>
  <si>
    <t>Sessions net negative</t>
  </si>
  <si>
    <t>Flat sessions</t>
  </si>
  <si>
    <t>Sessions at zero</t>
  </si>
  <si>
    <t>Average win (S/)</t>
  </si>
  <si>
    <t>Mean profit on winning sessions</t>
  </si>
  <si>
    <t>Average loss (S/)</t>
  </si>
  <si>
    <t>Mean loss on losing sessions</t>
  </si>
  <si>
    <t>Profit factor</t>
  </si>
  <si>
    <t>Gross wins ÷ gross losses. High win frequency (6:1) offsets larger avg loss</t>
  </si>
  <si>
    <t>Best session (S/)</t>
  </si>
  <si>
    <t>Largest single-session gain</t>
  </si>
  <si>
    <t>Worst session (S/)</t>
  </si>
  <si>
    <t>Largest single-session loss</t>
  </si>
  <si>
    <t>RISK</t>
  </si>
  <si>
    <t>Max drawdown — session (S/)</t>
  </si>
  <si>
    <t>Peak-to-trough on cumulative equity (3 consecutive sessions, Nov 2025)</t>
  </si>
  <si>
    <t>Max drawdown — % of working capital</t>
  </si>
  <si>
    <t>Drawdown relative to avg deployed capital</t>
  </si>
  <si>
    <t>Max drawdown — monthly</t>
  </si>
  <si>
    <t>0 (no negative months)</t>
  </si>
  <si>
    <t>No calendar month closed negative</t>
  </si>
  <si>
    <t>Longest losing streak</t>
  </si>
  <si>
    <t>Max consecutive losing sessions</t>
  </si>
  <si>
    <t>RISK-ADJUSTED (see caveat)</t>
  </si>
  <si>
    <t>Sharpe ratio (monthly, rf=0)</t>
  </si>
  <si>
    <t>On 19 full monthly returns</t>
  </si>
  <si>
    <t>Sharpe ratio (annualized)</t>
  </si>
  <si>
    <t>Monthly Sharpe × √12</t>
  </si>
  <si>
    <t>Sortino ratio</t>
  </si>
  <si>
    <t>n/a — no negative months</t>
  </si>
  <si>
    <t>Downside deviation ≈ 0 at monthly resolution</t>
  </si>
  <si>
    <t>Note: For near-market-neutral arbitrage, traditional Sharpe overstates risk-adjusted return. The operative risk is operational (account limitation / execution error), not return variance. Ratios are directional, not the primary evidence of performance.</t>
  </si>
  <si>
    <t>VENUE DISTRIBUTION</t>
  </si>
  <si>
    <t>By session presence across the operation. P&amp;L is not attributed per venue in source data.</t>
  </si>
  <si>
    <t>Venue</t>
  </si>
  <si>
    <t>Sessions Present</t>
  </si>
  <si>
    <t>% of Sessions</t>
  </si>
  <si>
    <t>PINNACLE</t>
  </si>
  <si>
    <t>BET365</t>
  </si>
  <si>
    <t>20BET</t>
  </si>
  <si>
    <t>BETSAFE</t>
  </si>
  <si>
    <t>APUESTA TOTAL</t>
  </si>
  <si>
    <t>OLIMPOBET</t>
  </si>
  <si>
    <t>DORADO</t>
  </si>
  <si>
    <t>BETANO</t>
  </si>
  <si>
    <t>ATLANTIC</t>
  </si>
  <si>
    <t>BETSSON</t>
  </si>
  <si>
    <t>INKABET</t>
  </si>
  <si>
    <t>MICASINO</t>
  </si>
  <si>
    <t>RUSHBET</t>
  </si>
  <si>
    <t>COOLBET</t>
  </si>
  <si>
    <t>MERIDIANBET</t>
  </si>
  <si>
    <t>BETCRIS</t>
  </si>
  <si>
    <t>CLOUDBET</t>
  </si>
  <si>
    <t>APUESTO.COM</t>
  </si>
  <si>
    <t>STAKE</t>
  </si>
  <si>
    <t>TINBET</t>
  </si>
  <si>
    <t>ROOBET</t>
  </si>
  <si>
    <t>PALMSBET</t>
  </si>
  <si>
    <t>RETABET</t>
  </si>
  <si>
    <t>GANAEXPRESS</t>
  </si>
  <si>
    <t>SOMOSCASINO</t>
  </si>
  <si>
    <t>SPORTMARKET</t>
  </si>
  <si>
    <t>1XBET</t>
  </si>
  <si>
    <t>MASTERSBET365</t>
  </si>
  <si>
    <t>TELEGRAM</t>
  </si>
  <si>
    <t>JEL</t>
  </si>
  <si>
    <t>LA FIJA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</si>
</sst>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#,##0.00;[RED]\(#,##0.00\)"/>
    <numFmt numFmtId="166" formatCode="0.0%"/>
    <numFmt numFmtId="167" formatCode="\$#,##0"/>
  </numFmts>
  <fonts count="25">
    <font>
      <sz val="11.0"/>
      <color theme="1"/>
      <name val="Calibri"/>
      <scheme val="minor"/>
    </font>
    <font>
      <b/>
      <sz val="18.0"/>
      <color rgb="FF1F3864"/>
      <name val="Arial"/>
    </font>
    <font>
      <sz val="10.0"/>
      <color rgb="FF595959"/>
      <name val="Arial"/>
    </font>
    <font>
      <sz val="9.0"/>
      <color rgb="FF2F5496"/>
      <name val="Arial"/>
    </font>
    <font>
      <sz val="11.0"/>
      <color theme="1"/>
      <name val="Calibri"/>
    </font>
    <font>
      <b/>
      <sz val="8.0"/>
      <color rgb="FF8EAADB"/>
      <name val="Arial"/>
    </font>
    <font/>
    <font>
      <b/>
      <sz val="8.0"/>
      <color rgb="FF595959"/>
      <name val="Arial"/>
    </font>
    <font>
      <b/>
      <sz val="15.0"/>
      <color rgb="FFFFFFFF"/>
      <name val="Arial"/>
    </font>
    <font>
      <b/>
      <sz val="15.0"/>
      <color rgb="FF1F3864"/>
      <name val="Arial"/>
    </font>
    <font>
      <sz val="8.0"/>
      <color rgb="FF8EAADB"/>
      <name val="Arial"/>
    </font>
    <font>
      <sz val="8.0"/>
      <color rgb="FF595959"/>
      <name val="Arial"/>
    </font>
    <font>
      <b/>
      <sz val="11.0"/>
      <color rgb="FF1F3864"/>
      <name val="Arial"/>
    </font>
    <font>
      <b/>
      <sz val="10.0"/>
      <color rgb="FF2F5496"/>
      <name val="Arial"/>
    </font>
    <font>
      <sz val="9.0"/>
      <color rgb="FF595959"/>
      <name val="Arial"/>
    </font>
    <font>
      <b/>
      <sz val="9.0"/>
      <color rgb="FFFFFFFF"/>
      <name val="Arial"/>
    </font>
    <font>
      <sz val="9.0"/>
      <color rgb="FF000000"/>
      <name val="Arial"/>
    </font>
    <font>
      <b/>
      <sz val="9.0"/>
      <color rgb="FF2E7D32"/>
      <name val="Arial"/>
    </font>
    <font>
      <b/>
      <sz val="9.0"/>
      <color rgb="FFC0392B"/>
      <name val="Arial"/>
    </font>
    <font>
      <b/>
      <sz val="9.0"/>
      <color rgb="FF595959"/>
      <name val="Arial"/>
    </font>
    <font>
      <b/>
      <sz val="10.0"/>
      <color rgb="FF1F3864"/>
      <name val="Arial"/>
    </font>
    <font>
      <b/>
      <sz val="14.0"/>
      <color rgb="FF1F3864"/>
      <name val="Arial"/>
    </font>
    <font>
      <b/>
      <sz val="10.0"/>
      <color rgb="FFFFFFFF"/>
      <name val="Arial"/>
    </font>
    <font>
      <b/>
      <sz val="9.0"/>
      <color rgb="FF1F3864"/>
      <name val="Arial"/>
    </font>
    <font>
      <i/>
      <sz val="8.0"/>
      <color rgb="FFC0392B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EF3FB"/>
        <bgColor rgb="FFEEF3FB"/>
      </patternFill>
    </fill>
    <fill>
      <patternFill patternType="solid">
        <fgColor rgb="FFD9E1F2"/>
        <bgColor rgb="FFD9E1F2"/>
      </patternFill>
    </fill>
    <fill>
      <patternFill patternType="solid">
        <fgColor rgb="FF2F5496"/>
        <bgColor rgb="FF2F5496"/>
      </patternFill>
    </fill>
  </fills>
  <borders count="10">
    <border/>
    <border>
      <left style="thin">
        <color rgb="FFD0D7E5"/>
      </left>
      <right style="thin">
        <color rgb="FFD0D7E5"/>
      </right>
      <top style="medium">
        <color rgb="FF1F3864"/>
      </top>
      <bottom style="thin">
        <color rgb="FFD0D7E5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D0D7E5"/>
      </left>
      <top style="thin">
        <color rgb="FFD0D7E5"/>
      </top>
      <bottom style="thin">
        <color rgb="FFD0D7E5"/>
      </bottom>
    </border>
    <border>
      <top style="thin">
        <color rgb="FFD0D7E5"/>
      </top>
      <bottom style="thin">
        <color rgb="FFD0D7E5"/>
      </bottom>
    </border>
    <border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2" fillId="2" fontId="5" numFmtId="0" xfId="0" applyAlignment="1" applyBorder="1" applyFill="1" applyFont="1">
      <alignment horizontal="center" shrinkToFit="0" vertical="center" wrapText="0"/>
    </xf>
    <xf borderId="3" fillId="0" fontId="6" numFmtId="0" xfId="0" applyBorder="1" applyFont="1"/>
    <xf borderId="2" fillId="3" fontId="7" numFmtId="0" xfId="0" applyAlignment="1" applyBorder="1" applyFill="1" applyFont="1">
      <alignment horizontal="center" shrinkToFit="0" vertical="center" wrapText="0"/>
    </xf>
    <xf borderId="4" fillId="3" fontId="7" numFmtId="0" xfId="0" applyAlignment="1" applyBorder="1" applyFont="1">
      <alignment horizontal="center" shrinkToFit="0" vertical="center" wrapText="0"/>
    </xf>
    <xf borderId="2" fillId="2" fontId="8" numFmtId="0" xfId="0" applyAlignment="1" applyBorder="1" applyFont="1">
      <alignment horizontal="center" shrinkToFit="0" vertical="center" wrapText="0"/>
    </xf>
    <xf borderId="2" fillId="3" fontId="9" numFmtId="0" xfId="0" applyAlignment="1" applyBorder="1" applyFont="1">
      <alignment horizontal="center" shrinkToFit="0" vertical="center" wrapText="0"/>
    </xf>
    <xf borderId="4" fillId="3" fontId="9" numFmtId="0" xfId="0" applyAlignment="1" applyBorder="1" applyFont="1">
      <alignment horizontal="center" shrinkToFit="0" vertical="center" wrapText="0"/>
    </xf>
    <xf borderId="2" fillId="2" fontId="10" numFmtId="0" xfId="0" applyAlignment="1" applyBorder="1" applyFont="1">
      <alignment horizontal="center" shrinkToFit="0" vertical="center" wrapText="0"/>
    </xf>
    <xf borderId="2" fillId="3" fontId="11" numFmtId="0" xfId="0" applyAlignment="1" applyBorder="1" applyFont="1">
      <alignment horizontal="center" shrinkToFit="0" vertical="center" wrapText="0"/>
    </xf>
    <xf borderId="4" fillId="3" fontId="11" numFmtId="0" xfId="0" applyAlignment="1" applyBorder="1" applyFont="1">
      <alignment horizontal="center" shrinkToFit="0" vertical="center" wrapText="0"/>
    </xf>
    <xf borderId="5" fillId="0" fontId="12" numFmtId="0" xfId="0" applyAlignment="1" applyBorder="1" applyFont="1">
      <alignment shrinkToFit="0" vertical="bottom" wrapText="0"/>
    </xf>
    <xf borderId="6" fillId="0" fontId="6" numFmtId="0" xfId="0" applyBorder="1" applyFont="1"/>
    <xf borderId="7" fillId="0" fontId="6" numFmtId="0" xfId="0" applyBorder="1" applyFont="1"/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horizontal="left" shrinkToFit="0" vertical="center" wrapText="0"/>
    </xf>
    <xf borderId="0" fillId="0" fontId="11" numFmtId="0" xfId="0" applyAlignment="1" applyFont="1">
      <alignment horizontal="left" shrinkToFit="0" vertical="center" wrapText="1"/>
    </xf>
    <xf borderId="8" fillId="2" fontId="15" numFmtId="0" xfId="0" applyAlignment="1" applyBorder="1" applyFont="1">
      <alignment horizontal="center" shrinkToFit="0" vertical="center" wrapText="1"/>
    </xf>
    <xf borderId="8" fillId="3" fontId="16" numFmtId="0" xfId="0" applyAlignment="1" applyBorder="1" applyFont="1">
      <alignment horizontal="center" shrinkToFit="0" vertical="center" wrapText="0"/>
    </xf>
    <xf borderId="8" fillId="3" fontId="16" numFmtId="164" xfId="0" applyAlignment="1" applyBorder="1" applyFont="1" applyNumberFormat="1">
      <alignment horizontal="center" shrinkToFit="0" vertical="center" wrapText="0"/>
    </xf>
    <xf borderId="8" fillId="3" fontId="17" numFmtId="165" xfId="0" applyAlignment="1" applyBorder="1" applyFont="1" applyNumberFormat="1">
      <alignment shrinkToFit="0" vertical="bottom" wrapText="0"/>
    </xf>
    <xf borderId="8" fillId="3" fontId="16" numFmtId="3" xfId="0" applyAlignment="1" applyBorder="1" applyFont="1" applyNumberFormat="1">
      <alignment shrinkToFit="0" vertical="bottom" wrapText="0"/>
    </xf>
    <xf borderId="8" fillId="3" fontId="16" numFmtId="10" xfId="0" applyAlignment="1" applyBorder="1" applyFont="1" applyNumberFormat="1">
      <alignment shrinkToFit="0" vertical="bottom" wrapText="0"/>
    </xf>
    <xf borderId="4" fillId="3" fontId="11" numFmtId="0" xfId="0" applyAlignment="1" applyBorder="1" applyFont="1">
      <alignment shrinkToFit="0" vertical="bottom" wrapText="0"/>
    </xf>
    <xf borderId="8" fillId="0" fontId="16" numFmtId="0" xfId="0" applyAlignment="1" applyBorder="1" applyFont="1">
      <alignment horizontal="center" shrinkToFit="0" vertical="center" wrapText="0"/>
    </xf>
    <xf borderId="8" fillId="0" fontId="16" numFmtId="164" xfId="0" applyAlignment="1" applyBorder="1" applyFont="1" applyNumberFormat="1">
      <alignment horizontal="center" shrinkToFit="0" vertical="center" wrapText="0"/>
    </xf>
    <xf borderId="8" fillId="0" fontId="17" numFmtId="165" xfId="0" applyAlignment="1" applyBorder="1" applyFont="1" applyNumberFormat="1">
      <alignment shrinkToFit="0" vertical="bottom" wrapText="0"/>
    </xf>
    <xf borderId="8" fillId="0" fontId="16" numFmtId="3" xfId="0" applyAlignment="1" applyBorder="1" applyFont="1" applyNumberFormat="1">
      <alignment shrinkToFit="0" vertical="bottom" wrapText="0"/>
    </xf>
    <xf borderId="8" fillId="0" fontId="16" numFmtId="10" xfId="0" applyAlignment="1" applyBorder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8" fillId="3" fontId="18" numFmtId="165" xfId="0" applyAlignment="1" applyBorder="1" applyFont="1" applyNumberFormat="1">
      <alignment shrinkToFit="0" vertical="bottom" wrapText="0"/>
    </xf>
    <xf borderId="8" fillId="0" fontId="18" numFmtId="165" xfId="0" applyAlignment="1" applyBorder="1" applyFont="1" applyNumberFormat="1">
      <alignment shrinkToFit="0" vertical="bottom" wrapText="0"/>
    </xf>
    <xf borderId="8" fillId="3" fontId="19" numFmtId="165" xfId="0" applyAlignment="1" applyBorder="1" applyFont="1" applyNumberFormat="1">
      <alignment shrinkToFit="0" vertical="bottom" wrapText="0"/>
    </xf>
    <xf borderId="8" fillId="0" fontId="19" numFmtId="165" xfId="0" applyAlignment="1" applyBorder="1" applyFont="1" applyNumberFormat="1">
      <alignment shrinkToFit="0" vertical="bottom" wrapText="0"/>
    </xf>
    <xf borderId="1" fillId="4" fontId="20" numFmtId="0" xfId="0" applyAlignment="1" applyBorder="1" applyFill="1" applyFont="1">
      <alignment shrinkToFit="0" vertical="bottom" wrapText="0"/>
    </xf>
    <xf borderId="1" fillId="4" fontId="20" numFmtId="4" xfId="0" applyAlignment="1" applyBorder="1" applyFont="1" applyNumberFormat="1">
      <alignment shrinkToFit="0" vertical="bottom" wrapText="0"/>
    </xf>
    <xf borderId="0" fillId="0" fontId="21" numFmtId="0" xfId="0" applyAlignment="1" applyFont="1">
      <alignment shrinkToFit="0" vertical="bottom" wrapText="0"/>
    </xf>
    <xf borderId="8" fillId="0" fontId="19" numFmtId="0" xfId="0" applyAlignment="1" applyBorder="1" applyFont="1">
      <alignment horizontal="center" shrinkToFit="0" vertical="center" wrapText="0"/>
    </xf>
    <xf borderId="8" fillId="0" fontId="17" numFmtId="3" xfId="0" applyAlignment="1" applyBorder="1" applyFont="1" applyNumberFormat="1">
      <alignment shrinkToFit="0" vertical="bottom" wrapText="0"/>
    </xf>
    <xf borderId="8" fillId="0" fontId="16" numFmtId="166" xfId="0" applyAlignment="1" applyBorder="1" applyFont="1" applyNumberFormat="1">
      <alignment shrinkToFit="0" vertical="bottom" wrapText="0"/>
    </xf>
    <xf borderId="8" fillId="3" fontId="17" numFmtId="3" xfId="0" applyAlignment="1" applyBorder="1" applyFont="1" applyNumberFormat="1">
      <alignment shrinkToFit="0" vertical="bottom" wrapText="0"/>
    </xf>
    <xf borderId="8" fillId="3" fontId="16" numFmtId="166" xfId="0" applyAlignment="1" applyBorder="1" applyFont="1" applyNumberFormat="1">
      <alignment shrinkToFit="0" vertical="bottom" wrapText="0"/>
    </xf>
    <xf borderId="1" fillId="4" fontId="20" numFmtId="0" xfId="0" applyAlignment="1" applyBorder="1" applyFont="1">
      <alignment horizontal="center" shrinkToFit="0" vertical="center" wrapText="0"/>
    </xf>
    <xf borderId="1" fillId="4" fontId="20" numFmtId="3" xfId="0" applyAlignment="1" applyBorder="1" applyFont="1" applyNumberFormat="1">
      <alignment shrinkToFit="0" vertical="bottom" wrapText="0"/>
    </xf>
    <xf borderId="0" fillId="0" fontId="14" numFmtId="0" xfId="0" applyAlignment="1" applyFont="1">
      <alignment shrinkToFit="0" vertical="bottom" wrapText="0"/>
    </xf>
    <xf borderId="2" fillId="5" fontId="22" numFmtId="0" xfId="0" applyAlignment="1" applyBorder="1" applyFill="1" applyFont="1">
      <alignment horizontal="left" shrinkToFit="0" vertical="center" wrapText="0"/>
    </xf>
    <xf borderId="9" fillId="0" fontId="6" numFmtId="0" xfId="0" applyBorder="1" applyFont="1"/>
    <xf borderId="8" fillId="0" fontId="16" numFmtId="0" xfId="0" applyAlignment="1" applyBorder="1" applyFont="1">
      <alignment shrinkToFit="0" vertical="bottom" wrapText="0"/>
    </xf>
    <xf borderId="8" fillId="0" fontId="23" numFmtId="4" xfId="0" applyAlignment="1" applyBorder="1" applyFont="1" applyNumberFormat="1">
      <alignment horizontal="right" shrinkToFit="0" vertical="center" wrapText="0"/>
    </xf>
    <xf borderId="8" fillId="0" fontId="11" numFmtId="0" xfId="0" applyAlignment="1" applyBorder="1" applyFont="1">
      <alignment horizontal="left" shrinkToFit="0" vertical="center" wrapText="1"/>
    </xf>
    <xf borderId="8" fillId="0" fontId="23" numFmtId="167" xfId="0" applyAlignment="1" applyBorder="1" applyFont="1" applyNumberFormat="1">
      <alignment horizontal="right" shrinkToFit="0" vertical="center" wrapText="0"/>
    </xf>
    <xf borderId="8" fillId="0" fontId="23" numFmtId="1" xfId="0" applyAlignment="1" applyBorder="1" applyFont="1" applyNumberFormat="1">
      <alignment horizontal="right" shrinkToFit="0" vertical="center" wrapText="0"/>
    </xf>
    <xf borderId="8" fillId="0" fontId="23" numFmtId="0" xfId="0" applyAlignment="1" applyBorder="1" applyFont="1">
      <alignment horizontal="right" shrinkToFit="0" vertical="center" wrapText="0"/>
    </xf>
    <xf borderId="8" fillId="0" fontId="23" numFmtId="166" xfId="0" applyAlignment="1" applyBorder="1" applyFont="1" applyNumberFormat="1">
      <alignment horizontal="right" shrinkToFit="0" vertical="center" wrapText="0"/>
    </xf>
    <xf borderId="8" fillId="0" fontId="23" numFmtId="3" xfId="0" applyAlignment="1" applyBorder="1" applyFont="1" applyNumberFormat="1">
      <alignment horizontal="right" shrinkToFit="0" vertical="center" wrapText="0"/>
    </xf>
    <xf borderId="8" fillId="0" fontId="23" numFmtId="10" xfId="0" applyAlignment="1" applyBorder="1" applyFont="1" applyNumberFormat="1">
      <alignment horizontal="right" shrinkToFit="0" vertical="center" wrapText="0"/>
    </xf>
    <xf borderId="8" fillId="0" fontId="23" numFmtId="2" xfId="0" applyAlignment="1" applyBorder="1" applyFont="1" applyNumberFormat="1">
      <alignment horizontal="right" shrinkToFit="0" vertical="center" wrapText="0"/>
    </xf>
    <xf borderId="0" fillId="0" fontId="24" numFmtId="0" xfId="0" applyAlignment="1" applyFont="1">
      <alignment horizontal="left" shrinkToFit="0" vertical="top" wrapText="1"/>
    </xf>
    <xf borderId="8" fillId="3" fontId="23" numFmtId="0" xfId="0" applyAlignment="1" applyBorder="1" applyFont="1">
      <alignment shrinkToFit="0" vertical="bottom" wrapText="0"/>
    </xf>
    <xf borderId="8" fillId="3" fontId="1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Cumulative Net P&amp;L (S/)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Cumulative P&amp;L (S/)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Monthly!$B$5:$B$24</c:f>
            </c:strRef>
          </c:cat>
          <c:val>
            <c:numRef>
              <c:f>Monthly!$G$5:$G$24</c:f>
              <c:numCache/>
            </c:numRef>
          </c:val>
          <c:smooth val="1"/>
        </c:ser>
        <c:axId val="1836543509"/>
        <c:axId val="538361403"/>
      </c:lineChart>
      <c:catAx>
        <c:axId val="18365435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38361403"/>
      </c:catAx>
      <c:valAx>
        <c:axId val="538361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36543509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Monthly Net P&amp;L (S/)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Net P&amp;L (S/)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Monthly!$B$5:$B$24</c:f>
            </c:strRef>
          </c:cat>
          <c:val>
            <c:numRef>
              <c:f>Monthly!$D$5:$D$24</c:f>
              <c:numCache/>
            </c:numRef>
          </c:val>
        </c:ser>
        <c:axId val="1482135149"/>
        <c:axId val="1802026880"/>
      </c:barChart>
      <c:catAx>
        <c:axId val="1482135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02026880"/>
      </c:catAx>
      <c:valAx>
        <c:axId val="1802026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82135149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Venue Usage (sessions present)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Sessions Present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'Venue Distribution'!$B$6:$B$20</c:f>
            </c:strRef>
          </c:cat>
          <c:val>
            <c:numRef>
              <c:f>'Venue Distribution'!$C$6:$C$20</c:f>
              <c:numCache/>
            </c:numRef>
          </c:val>
        </c:ser>
        <c:axId val="51768126"/>
        <c:axId val="471367857"/>
      </c:barChart>
      <c:catAx>
        <c:axId val="517681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71367857"/>
      </c:catAx>
      <c:valAx>
        <c:axId val="4713678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1768126"/>
        <c:crosses val="max"/>
      </c:valAx>
    </c:plotArea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</xdr:row>
      <xdr:rowOff>152400</xdr:rowOff>
    </xdr:from>
    <xdr:ext cx="5810250" cy="2828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18</xdr:row>
      <xdr:rowOff>152400</xdr:rowOff>
    </xdr:from>
    <xdr:ext cx="5810250" cy="28479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152400</xdr:rowOff>
    </xdr:from>
    <xdr:ext cx="3771900" cy="45434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19.29"/>
    <col customWidth="1" min="3" max="9" width="12.0"/>
    <col customWidth="1" min="10" max="10" width="16.29"/>
    <col customWidth="1" min="11" max="26" width="8.71"/>
  </cols>
  <sheetData>
    <row r="2">
      <c r="B2" s="1" t="s">
        <v>0</v>
      </c>
    </row>
    <row r="3">
      <c r="B3" s="2" t="s">
        <v>1</v>
      </c>
    </row>
    <row r="4">
      <c r="B4" s="3" t="s">
        <v>2</v>
      </c>
    </row>
    <row r="5">
      <c r="B5" s="4"/>
      <c r="C5" s="4"/>
      <c r="D5" s="4"/>
      <c r="E5" s="4"/>
      <c r="F5" s="4"/>
      <c r="G5" s="4"/>
      <c r="H5" s="4"/>
      <c r="I5" s="4"/>
      <c r="J5" s="4"/>
    </row>
    <row r="7" ht="15.75" customHeight="1">
      <c r="B7" s="5" t="s">
        <v>3</v>
      </c>
      <c r="C7" s="6"/>
      <c r="D7" s="7" t="s">
        <v>4</v>
      </c>
      <c r="E7" s="6"/>
      <c r="F7" s="7" t="s">
        <v>5</v>
      </c>
      <c r="G7" s="6"/>
      <c r="H7" s="7" t="s">
        <v>6</v>
      </c>
      <c r="I7" s="6"/>
      <c r="J7" s="8" t="s">
        <v>7</v>
      </c>
    </row>
    <row r="8" ht="25.5" customHeight="1">
      <c r="B8" s="9" t="s">
        <v>8</v>
      </c>
      <c r="C8" s="6"/>
      <c r="D8" s="10" t="s">
        <v>9</v>
      </c>
      <c r="E8" s="6"/>
      <c r="F8" s="10" t="s">
        <v>10</v>
      </c>
      <c r="G8" s="6"/>
      <c r="H8" s="10" t="s">
        <v>11</v>
      </c>
      <c r="I8" s="6"/>
      <c r="J8" s="11" t="s">
        <v>12</v>
      </c>
    </row>
    <row r="9" ht="15.75" customHeight="1">
      <c r="B9" s="12" t="s">
        <v>13</v>
      </c>
      <c r="C9" s="6"/>
      <c r="D9" s="13" t="s">
        <v>14</v>
      </c>
      <c r="E9" s="6"/>
      <c r="F9" s="13" t="s">
        <v>15</v>
      </c>
      <c r="G9" s="6"/>
      <c r="H9" s="13" t="s">
        <v>16</v>
      </c>
      <c r="I9" s="6"/>
      <c r="J9" s="14" t="s">
        <v>17</v>
      </c>
    </row>
    <row r="11">
      <c r="B11" s="15" t="s">
        <v>18</v>
      </c>
      <c r="C11" s="16"/>
      <c r="D11" s="16"/>
      <c r="E11" s="16"/>
      <c r="F11" s="16"/>
      <c r="G11" s="16"/>
      <c r="H11" s="16"/>
      <c r="I11" s="16"/>
      <c r="J11" s="17"/>
    </row>
    <row r="12">
      <c r="B12" s="18" t="s">
        <v>19</v>
      </c>
      <c r="C12" s="19" t="s">
        <v>20</v>
      </c>
    </row>
    <row r="13">
      <c r="B13" s="18" t="s">
        <v>21</v>
      </c>
      <c r="C13" s="19" t="s">
        <v>22</v>
      </c>
    </row>
    <row r="14">
      <c r="B14" s="18" t="s">
        <v>23</v>
      </c>
      <c r="C14" s="19" t="s">
        <v>24</v>
      </c>
    </row>
    <row r="15">
      <c r="B15" s="18" t="s">
        <v>25</v>
      </c>
      <c r="C15" s="19" t="s">
        <v>26</v>
      </c>
    </row>
    <row r="17">
      <c r="B17" s="15" t="s">
        <v>27</v>
      </c>
      <c r="C17" s="16"/>
      <c r="D17" s="16"/>
      <c r="E17" s="16"/>
      <c r="F17" s="16"/>
      <c r="G17" s="16"/>
      <c r="H17" s="16"/>
      <c r="I17" s="16"/>
      <c r="J17" s="17"/>
    </row>
    <row r="18" ht="24.0" customHeight="1">
      <c r="B18" s="20" t="s">
        <v>28</v>
      </c>
    </row>
    <row r="19" ht="24.0" customHeight="1">
      <c r="B19" s="20" t="s">
        <v>29</v>
      </c>
    </row>
    <row r="20" ht="24.0" customHeight="1">
      <c r="B20" s="20" t="s">
        <v>30</v>
      </c>
    </row>
    <row r="21" ht="24.0" customHeight="1">
      <c r="B21" s="20" t="s">
        <v>31</v>
      </c>
    </row>
    <row r="22" ht="24.0" customHeight="1">
      <c r="B22" s="20" t="s">
        <v>32</v>
      </c>
    </row>
    <row r="23" ht="24.0" customHeight="1">
      <c r="B23" s="20" t="s">
        <v>33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2:J2"/>
    <mergeCell ref="B3:J3"/>
    <mergeCell ref="B4:J4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B18:J18"/>
    <mergeCell ref="B19:J19"/>
    <mergeCell ref="B20:J20"/>
    <mergeCell ref="B21:J21"/>
    <mergeCell ref="B22:J22"/>
    <mergeCell ref="B23:J23"/>
    <mergeCell ref="H9:I9"/>
    <mergeCell ref="B11:J11"/>
    <mergeCell ref="C12:J12"/>
    <mergeCell ref="C13:J13"/>
    <mergeCell ref="C14:J14"/>
    <mergeCell ref="C15:J15"/>
    <mergeCell ref="B17:J17"/>
  </mergeCells>
  <printOptions horizontalCentered="1"/>
  <pageMargins bottom="0.5" footer="0.0" header="0.0" left="0.4" right="0.4" top="0.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10.0"/>
    <col customWidth="1" min="4" max="4" width="15.0"/>
    <col customWidth="1" min="5" max="5" width="20.0"/>
    <col customWidth="1" min="6" max="6" width="16.0"/>
    <col customWidth="1" min="7" max="7" width="14.0"/>
    <col customWidth="1" min="8" max="8" width="203.29"/>
    <col customWidth="1" min="9" max="26" width="8.71"/>
  </cols>
  <sheetData>
    <row r="1" ht="30.0" customHeight="1">
      <c r="A1" s="21" t="s">
        <v>34</v>
      </c>
      <c r="B1" s="21" t="s">
        <v>35</v>
      </c>
      <c r="C1" s="21" t="s">
        <v>36</v>
      </c>
      <c r="D1" s="21" t="s">
        <v>37</v>
      </c>
      <c r="E1" s="21" t="s">
        <v>38</v>
      </c>
      <c r="F1" s="21" t="s">
        <v>39</v>
      </c>
      <c r="G1" s="21" t="s">
        <v>40</v>
      </c>
      <c r="H1" s="21" t="s">
        <v>41</v>
      </c>
    </row>
    <row r="2">
      <c r="A2" s="22">
        <v>1.0</v>
      </c>
      <c r="B2" s="23">
        <v>45616.0</v>
      </c>
      <c r="C2" s="22" t="s">
        <v>42</v>
      </c>
      <c r="D2" s="24">
        <v>41.01</v>
      </c>
      <c r="E2" s="25">
        <v>4984.34</v>
      </c>
      <c r="F2" s="26">
        <v>0.0082</v>
      </c>
      <c r="G2" s="22">
        <v>4.0</v>
      </c>
      <c r="H2" s="27" t="s">
        <v>43</v>
      </c>
    </row>
    <row r="3">
      <c r="A3" s="28">
        <v>2.0</v>
      </c>
      <c r="B3" s="29">
        <v>45617.0</v>
      </c>
      <c r="C3" s="28" t="s">
        <v>42</v>
      </c>
      <c r="D3" s="30">
        <v>41.01</v>
      </c>
      <c r="E3" s="31">
        <v>4984.34</v>
      </c>
      <c r="F3" s="32">
        <v>0.0082</v>
      </c>
      <c r="G3" s="28">
        <v>4.0</v>
      </c>
      <c r="H3" s="33" t="s">
        <v>43</v>
      </c>
    </row>
    <row r="4">
      <c r="A4" s="22">
        <v>3.0</v>
      </c>
      <c r="B4" s="23">
        <v>45618.0</v>
      </c>
      <c r="C4" s="22" t="s">
        <v>42</v>
      </c>
      <c r="D4" s="24">
        <v>41.01</v>
      </c>
      <c r="E4" s="25">
        <v>4984.34</v>
      </c>
      <c r="F4" s="26">
        <v>0.0082</v>
      </c>
      <c r="G4" s="22">
        <v>4.0</v>
      </c>
      <c r="H4" s="27" t="s">
        <v>43</v>
      </c>
    </row>
    <row r="5">
      <c r="A5" s="28">
        <v>4.0</v>
      </c>
      <c r="B5" s="29">
        <v>45619.0</v>
      </c>
      <c r="C5" s="28" t="s">
        <v>42</v>
      </c>
      <c r="D5" s="30">
        <v>41.01</v>
      </c>
      <c r="E5" s="31">
        <v>4984.34</v>
      </c>
      <c r="F5" s="32">
        <v>0.0082</v>
      </c>
      <c r="G5" s="28">
        <v>4.0</v>
      </c>
      <c r="H5" s="33" t="s">
        <v>43</v>
      </c>
    </row>
    <row r="6">
      <c r="A6" s="22">
        <v>5.0</v>
      </c>
      <c r="B6" s="23">
        <v>45620.0</v>
      </c>
      <c r="C6" s="22" t="s">
        <v>42</v>
      </c>
      <c r="D6" s="24">
        <v>41.03</v>
      </c>
      <c r="E6" s="25">
        <v>4984.34</v>
      </c>
      <c r="F6" s="26">
        <v>0.0082</v>
      </c>
      <c r="G6" s="22">
        <v>4.0</v>
      </c>
      <c r="H6" s="27" t="s">
        <v>43</v>
      </c>
    </row>
    <row r="7">
      <c r="A7" s="28">
        <v>6.0</v>
      </c>
      <c r="B7" s="29">
        <v>45621.0</v>
      </c>
      <c r="C7" s="28" t="s">
        <v>42</v>
      </c>
      <c r="D7" s="30">
        <v>22.78</v>
      </c>
      <c r="E7" s="31">
        <v>5689.41</v>
      </c>
      <c r="F7" s="32">
        <v>0.004</v>
      </c>
      <c r="G7" s="28">
        <v>5.0</v>
      </c>
      <c r="H7" s="33" t="s">
        <v>44</v>
      </c>
    </row>
    <row r="8">
      <c r="A8" s="22">
        <v>7.0</v>
      </c>
      <c r="B8" s="23">
        <v>45622.0</v>
      </c>
      <c r="C8" s="22" t="s">
        <v>42</v>
      </c>
      <c r="D8" s="24">
        <v>22.78</v>
      </c>
      <c r="E8" s="25">
        <v>5689.41</v>
      </c>
      <c r="F8" s="26">
        <v>0.004</v>
      </c>
      <c r="G8" s="22">
        <v>5.0</v>
      </c>
      <c r="H8" s="27" t="s">
        <v>44</v>
      </c>
    </row>
    <row r="9">
      <c r="A9" s="28">
        <v>8.0</v>
      </c>
      <c r="B9" s="29">
        <v>45623.0</v>
      </c>
      <c r="C9" s="28" t="s">
        <v>42</v>
      </c>
      <c r="D9" s="30">
        <v>22.78</v>
      </c>
      <c r="E9" s="31">
        <v>5689.41</v>
      </c>
      <c r="F9" s="32">
        <v>0.004</v>
      </c>
      <c r="G9" s="28">
        <v>5.0</v>
      </c>
      <c r="H9" s="33" t="s">
        <v>44</v>
      </c>
    </row>
    <row r="10">
      <c r="A10" s="22">
        <v>9.0</v>
      </c>
      <c r="B10" s="23">
        <v>45624.0</v>
      </c>
      <c r="C10" s="22" t="s">
        <v>42</v>
      </c>
      <c r="D10" s="24">
        <v>22.78</v>
      </c>
      <c r="E10" s="25">
        <v>5689.41</v>
      </c>
      <c r="F10" s="26">
        <v>0.004</v>
      </c>
      <c r="G10" s="22">
        <v>5.0</v>
      </c>
      <c r="H10" s="27" t="s">
        <v>44</v>
      </c>
    </row>
    <row r="11">
      <c r="A11" s="28">
        <v>10.0</v>
      </c>
      <c r="B11" s="29">
        <v>45625.0</v>
      </c>
      <c r="C11" s="28" t="s">
        <v>42</v>
      </c>
      <c r="D11" s="30">
        <v>22.78</v>
      </c>
      <c r="E11" s="31">
        <v>5689.41</v>
      </c>
      <c r="F11" s="32">
        <v>0.004</v>
      </c>
      <c r="G11" s="28">
        <v>5.0</v>
      </c>
      <c r="H11" s="33" t="s">
        <v>44</v>
      </c>
    </row>
    <row r="12">
      <c r="A12" s="22">
        <v>11.0</v>
      </c>
      <c r="B12" s="23">
        <v>45626.0</v>
      </c>
      <c r="C12" s="22" t="s">
        <v>42</v>
      </c>
      <c r="D12" s="24">
        <v>22.78</v>
      </c>
      <c r="E12" s="25">
        <v>5689.41</v>
      </c>
      <c r="F12" s="26">
        <v>0.004</v>
      </c>
      <c r="G12" s="22">
        <v>5.0</v>
      </c>
      <c r="H12" s="27" t="s">
        <v>44</v>
      </c>
    </row>
    <row r="13">
      <c r="A13" s="28">
        <v>12.0</v>
      </c>
      <c r="B13" s="29">
        <v>45627.0</v>
      </c>
      <c r="C13" s="28" t="s">
        <v>45</v>
      </c>
      <c r="D13" s="30">
        <v>22.78</v>
      </c>
      <c r="E13" s="31">
        <v>5689.41</v>
      </c>
      <c r="F13" s="32">
        <v>0.004</v>
      </c>
      <c r="G13" s="28">
        <v>5.0</v>
      </c>
      <c r="H13" s="33" t="s">
        <v>44</v>
      </c>
    </row>
    <row r="14">
      <c r="A14" s="22">
        <v>13.0</v>
      </c>
      <c r="B14" s="23">
        <v>45628.0</v>
      </c>
      <c r="C14" s="22" t="s">
        <v>45</v>
      </c>
      <c r="D14" s="24">
        <v>38.34</v>
      </c>
      <c r="E14" s="25">
        <v>3720.81</v>
      </c>
      <c r="F14" s="26">
        <v>0.0103</v>
      </c>
      <c r="G14" s="22">
        <v>4.0</v>
      </c>
      <c r="H14" s="27" t="s">
        <v>46</v>
      </c>
    </row>
    <row r="15">
      <c r="A15" s="28">
        <v>14.0</v>
      </c>
      <c r="B15" s="29">
        <v>45629.0</v>
      </c>
      <c r="C15" s="28" t="s">
        <v>45</v>
      </c>
      <c r="D15" s="30">
        <v>55.7</v>
      </c>
      <c r="E15" s="31">
        <v>3509.15</v>
      </c>
      <c r="F15" s="32">
        <v>0.0159</v>
      </c>
      <c r="G15" s="28">
        <v>4.0</v>
      </c>
      <c r="H15" s="33" t="s">
        <v>46</v>
      </c>
    </row>
    <row r="16">
      <c r="A16" s="22">
        <v>15.0</v>
      </c>
      <c r="B16" s="23">
        <v>45630.0</v>
      </c>
      <c r="C16" s="22" t="s">
        <v>45</v>
      </c>
      <c r="D16" s="24">
        <v>23.25</v>
      </c>
      <c r="E16" s="25">
        <v>2770.85</v>
      </c>
      <c r="F16" s="26">
        <v>0.0084</v>
      </c>
      <c r="G16" s="22">
        <v>4.0</v>
      </c>
      <c r="H16" s="27" t="s">
        <v>46</v>
      </c>
    </row>
    <row r="17">
      <c r="A17" s="28">
        <v>16.0</v>
      </c>
      <c r="B17" s="29">
        <v>45632.0</v>
      </c>
      <c r="C17" s="28" t="s">
        <v>45</v>
      </c>
      <c r="D17" s="30">
        <v>32.93</v>
      </c>
      <c r="E17" s="31">
        <v>3094.1</v>
      </c>
      <c r="F17" s="32">
        <v>0.0106</v>
      </c>
      <c r="G17" s="28">
        <v>4.0</v>
      </c>
      <c r="H17" s="33" t="s">
        <v>46</v>
      </c>
    </row>
    <row r="18">
      <c r="A18" s="22">
        <v>17.0</v>
      </c>
      <c r="B18" s="23">
        <v>45635.0</v>
      </c>
      <c r="C18" s="22" t="s">
        <v>45</v>
      </c>
      <c r="D18" s="24">
        <v>84.19</v>
      </c>
      <c r="E18" s="25">
        <v>3527.03</v>
      </c>
      <c r="F18" s="26">
        <v>0.0239</v>
      </c>
      <c r="G18" s="22">
        <v>4.0</v>
      </c>
      <c r="H18" s="27" t="s">
        <v>46</v>
      </c>
    </row>
    <row r="19">
      <c r="A19" s="28">
        <v>18.0</v>
      </c>
      <c r="B19" s="29">
        <v>45636.0</v>
      </c>
      <c r="C19" s="28" t="s">
        <v>45</v>
      </c>
      <c r="D19" s="30">
        <v>237.75</v>
      </c>
      <c r="E19" s="31">
        <v>6646.22</v>
      </c>
      <c r="F19" s="32">
        <v>0.0358</v>
      </c>
      <c r="G19" s="28">
        <v>6.0</v>
      </c>
      <c r="H19" s="33" t="s">
        <v>47</v>
      </c>
    </row>
    <row r="20">
      <c r="A20" s="22">
        <v>19.0</v>
      </c>
      <c r="B20" s="23">
        <v>45637.0</v>
      </c>
      <c r="C20" s="22" t="s">
        <v>45</v>
      </c>
      <c r="D20" s="24">
        <v>237.75</v>
      </c>
      <c r="E20" s="25">
        <v>6646.22</v>
      </c>
      <c r="F20" s="26">
        <v>0.0358</v>
      </c>
      <c r="G20" s="22">
        <v>6.0</v>
      </c>
      <c r="H20" s="27" t="s">
        <v>47</v>
      </c>
    </row>
    <row r="21" ht="15.75" customHeight="1">
      <c r="A21" s="28">
        <v>20.0</v>
      </c>
      <c r="B21" s="29">
        <v>45638.0</v>
      </c>
      <c r="C21" s="28" t="s">
        <v>45</v>
      </c>
      <c r="D21" s="30">
        <v>237.76</v>
      </c>
      <c r="E21" s="31">
        <v>6646.22</v>
      </c>
      <c r="F21" s="32">
        <v>0.0358</v>
      </c>
      <c r="G21" s="28">
        <v>6.0</v>
      </c>
      <c r="H21" s="33" t="s">
        <v>47</v>
      </c>
    </row>
    <row r="22" ht="15.75" customHeight="1">
      <c r="A22" s="22">
        <v>21.0</v>
      </c>
      <c r="B22" s="23">
        <v>45639.0</v>
      </c>
      <c r="C22" s="22" t="s">
        <v>45</v>
      </c>
      <c r="D22" s="24">
        <v>51.38</v>
      </c>
      <c r="E22" s="25">
        <v>2816.43</v>
      </c>
      <c r="F22" s="26">
        <v>0.0182</v>
      </c>
      <c r="G22" s="22">
        <v>5.0</v>
      </c>
      <c r="H22" s="27" t="s">
        <v>48</v>
      </c>
    </row>
    <row r="23" ht="15.75" customHeight="1">
      <c r="A23" s="28">
        <v>22.0</v>
      </c>
      <c r="B23" s="29">
        <v>45640.0</v>
      </c>
      <c r="C23" s="28" t="s">
        <v>45</v>
      </c>
      <c r="D23" s="30">
        <v>87.93</v>
      </c>
      <c r="E23" s="31">
        <v>4062.81</v>
      </c>
      <c r="F23" s="32">
        <v>0.0216</v>
      </c>
      <c r="G23" s="28">
        <v>4.0</v>
      </c>
      <c r="H23" s="33" t="s">
        <v>46</v>
      </c>
    </row>
    <row r="24" ht="15.75" customHeight="1">
      <c r="A24" s="22">
        <v>23.0</v>
      </c>
      <c r="B24" s="23">
        <v>45641.0</v>
      </c>
      <c r="C24" s="22" t="s">
        <v>45</v>
      </c>
      <c r="D24" s="24">
        <v>17.6</v>
      </c>
      <c r="E24" s="25">
        <v>3587.74</v>
      </c>
      <c r="F24" s="26">
        <v>0.0049</v>
      </c>
      <c r="G24" s="22">
        <v>4.0</v>
      </c>
      <c r="H24" s="27" t="s">
        <v>46</v>
      </c>
    </row>
    <row r="25" ht="15.75" customHeight="1">
      <c r="A25" s="28">
        <v>24.0</v>
      </c>
      <c r="B25" s="29">
        <v>45642.0</v>
      </c>
      <c r="C25" s="28" t="s">
        <v>45</v>
      </c>
      <c r="D25" s="30">
        <v>2.73</v>
      </c>
      <c r="E25" s="31">
        <v>3605.34</v>
      </c>
      <c r="F25" s="32">
        <v>8.0E-4</v>
      </c>
      <c r="G25" s="28">
        <v>6.0</v>
      </c>
      <c r="H25" s="33" t="s">
        <v>49</v>
      </c>
    </row>
    <row r="26" ht="15.75" customHeight="1">
      <c r="A26" s="22">
        <v>25.0</v>
      </c>
      <c r="B26" s="23">
        <v>45643.0</v>
      </c>
      <c r="C26" s="22" t="s">
        <v>45</v>
      </c>
      <c r="D26" s="24">
        <v>19.39</v>
      </c>
      <c r="E26" s="25">
        <v>3608.07</v>
      </c>
      <c r="F26" s="26">
        <v>0.0054</v>
      </c>
      <c r="G26" s="22">
        <v>6.0</v>
      </c>
      <c r="H26" s="27" t="s">
        <v>49</v>
      </c>
    </row>
    <row r="27" ht="15.75" customHeight="1">
      <c r="A27" s="28">
        <v>26.0</v>
      </c>
      <c r="B27" s="29">
        <v>45644.0</v>
      </c>
      <c r="C27" s="28" t="s">
        <v>45</v>
      </c>
      <c r="D27" s="30">
        <v>30.07</v>
      </c>
      <c r="E27" s="31">
        <v>3927.46</v>
      </c>
      <c r="F27" s="32">
        <v>0.0077</v>
      </c>
      <c r="G27" s="28">
        <v>6.0</v>
      </c>
      <c r="H27" s="33" t="s">
        <v>50</v>
      </c>
    </row>
    <row r="28" ht="15.75" customHeight="1">
      <c r="A28" s="22">
        <v>27.0</v>
      </c>
      <c r="B28" s="23">
        <v>45645.0</v>
      </c>
      <c r="C28" s="22" t="s">
        <v>45</v>
      </c>
      <c r="D28" s="24">
        <v>38.0</v>
      </c>
      <c r="E28" s="25">
        <v>4457.53</v>
      </c>
      <c r="F28" s="26">
        <v>0.0085</v>
      </c>
      <c r="G28" s="22">
        <v>6.0</v>
      </c>
      <c r="H28" s="27" t="s">
        <v>51</v>
      </c>
    </row>
    <row r="29" ht="15.75" customHeight="1">
      <c r="A29" s="28">
        <v>28.0</v>
      </c>
      <c r="B29" s="29">
        <v>45645.0</v>
      </c>
      <c r="C29" s="28" t="s">
        <v>45</v>
      </c>
      <c r="D29" s="30">
        <v>62.31</v>
      </c>
      <c r="E29" s="31">
        <v>5045.53</v>
      </c>
      <c r="F29" s="32">
        <v>0.0123</v>
      </c>
      <c r="G29" s="28">
        <v>6.0</v>
      </c>
      <c r="H29" s="33" t="s">
        <v>51</v>
      </c>
    </row>
    <row r="30" ht="15.75" customHeight="1">
      <c r="A30" s="22">
        <v>29.0</v>
      </c>
      <c r="B30" s="23">
        <v>45646.0</v>
      </c>
      <c r="C30" s="22" t="s">
        <v>45</v>
      </c>
      <c r="D30" s="34">
        <v>-110.66</v>
      </c>
      <c r="E30" s="25">
        <v>4180.71</v>
      </c>
      <c r="F30" s="26">
        <v>-0.0265</v>
      </c>
      <c r="G30" s="22">
        <v>5.0</v>
      </c>
      <c r="H30" s="27" t="s">
        <v>52</v>
      </c>
    </row>
    <row r="31" ht="15.75" customHeight="1">
      <c r="A31" s="28">
        <v>30.0</v>
      </c>
      <c r="B31" s="29">
        <v>45647.0</v>
      </c>
      <c r="C31" s="28" t="s">
        <v>45</v>
      </c>
      <c r="D31" s="30">
        <v>54.31</v>
      </c>
      <c r="E31" s="31">
        <v>4454.4</v>
      </c>
      <c r="F31" s="32">
        <v>0.0122</v>
      </c>
      <c r="G31" s="28">
        <v>5.0</v>
      </c>
      <c r="H31" s="33" t="s">
        <v>44</v>
      </c>
    </row>
    <row r="32" ht="15.75" customHeight="1">
      <c r="A32" s="22">
        <v>31.0</v>
      </c>
      <c r="B32" s="23">
        <v>45648.0</v>
      </c>
      <c r="C32" s="22" t="s">
        <v>45</v>
      </c>
      <c r="D32" s="24">
        <v>64.02</v>
      </c>
      <c r="E32" s="25">
        <v>4508.71</v>
      </c>
      <c r="F32" s="26">
        <v>0.0142</v>
      </c>
      <c r="G32" s="22">
        <v>5.0</v>
      </c>
      <c r="H32" s="27" t="s">
        <v>44</v>
      </c>
    </row>
    <row r="33" ht="15.75" customHeight="1">
      <c r="A33" s="28">
        <v>32.0</v>
      </c>
      <c r="B33" s="29">
        <v>45649.0</v>
      </c>
      <c r="C33" s="28" t="s">
        <v>45</v>
      </c>
      <c r="D33" s="30">
        <v>155.68</v>
      </c>
      <c r="E33" s="31">
        <v>5002.73</v>
      </c>
      <c r="F33" s="32">
        <v>0.0311</v>
      </c>
      <c r="G33" s="28">
        <v>5.0</v>
      </c>
      <c r="H33" s="33" t="s">
        <v>44</v>
      </c>
    </row>
    <row r="34" ht="15.75" customHeight="1">
      <c r="A34" s="22">
        <v>33.0</v>
      </c>
      <c r="B34" s="23">
        <v>45650.0</v>
      </c>
      <c r="C34" s="22" t="s">
        <v>45</v>
      </c>
      <c r="D34" s="34">
        <v>-9.91</v>
      </c>
      <c r="E34" s="25">
        <v>5158.41</v>
      </c>
      <c r="F34" s="26">
        <v>-0.0019</v>
      </c>
      <c r="G34" s="22">
        <v>5.0</v>
      </c>
      <c r="H34" s="27" t="s">
        <v>44</v>
      </c>
    </row>
    <row r="35" ht="15.75" customHeight="1">
      <c r="A35" s="28">
        <v>34.0</v>
      </c>
      <c r="B35" s="29">
        <v>45651.0</v>
      </c>
      <c r="C35" s="28" t="s">
        <v>45</v>
      </c>
      <c r="D35" s="30">
        <v>88.14</v>
      </c>
      <c r="E35" s="31">
        <v>4483.21</v>
      </c>
      <c r="F35" s="32">
        <v>0.0197</v>
      </c>
      <c r="G35" s="28">
        <v>6.0</v>
      </c>
      <c r="H35" s="33" t="s">
        <v>53</v>
      </c>
    </row>
    <row r="36" ht="15.75" customHeight="1">
      <c r="A36" s="22">
        <v>35.0</v>
      </c>
      <c r="B36" s="23">
        <v>45652.0</v>
      </c>
      <c r="C36" s="22" t="s">
        <v>45</v>
      </c>
      <c r="D36" s="24">
        <v>88.13</v>
      </c>
      <c r="E36" s="25">
        <v>4483.21</v>
      </c>
      <c r="F36" s="26">
        <v>0.0197</v>
      </c>
      <c r="G36" s="22">
        <v>6.0</v>
      </c>
      <c r="H36" s="27" t="s">
        <v>53</v>
      </c>
    </row>
    <row r="37" ht="15.75" customHeight="1">
      <c r="A37" s="28">
        <v>36.0</v>
      </c>
      <c r="B37" s="29">
        <v>45653.0</v>
      </c>
      <c r="C37" s="28" t="s">
        <v>45</v>
      </c>
      <c r="D37" s="30">
        <v>320.38</v>
      </c>
      <c r="E37" s="31">
        <v>5959.48</v>
      </c>
      <c r="F37" s="32">
        <v>0.0538</v>
      </c>
      <c r="G37" s="28">
        <v>7.0</v>
      </c>
      <c r="H37" s="33" t="s">
        <v>54</v>
      </c>
    </row>
    <row r="38" ht="15.75" customHeight="1">
      <c r="A38" s="22">
        <v>37.0</v>
      </c>
      <c r="B38" s="23">
        <v>45654.0</v>
      </c>
      <c r="C38" s="22" t="s">
        <v>45</v>
      </c>
      <c r="D38" s="24">
        <v>455.22</v>
      </c>
      <c r="E38" s="25">
        <v>5280.06</v>
      </c>
      <c r="F38" s="26">
        <v>0.0862</v>
      </c>
      <c r="G38" s="22">
        <v>6.0</v>
      </c>
      <c r="H38" s="27" t="s">
        <v>55</v>
      </c>
    </row>
    <row r="39" ht="15.75" customHeight="1">
      <c r="A39" s="28">
        <v>38.0</v>
      </c>
      <c r="B39" s="29">
        <v>45655.0</v>
      </c>
      <c r="C39" s="28" t="s">
        <v>45</v>
      </c>
      <c r="D39" s="35">
        <v>-443.04</v>
      </c>
      <c r="E39" s="31">
        <v>5535.28</v>
      </c>
      <c r="F39" s="32">
        <v>-0.08</v>
      </c>
      <c r="G39" s="28">
        <v>6.0</v>
      </c>
      <c r="H39" s="33" t="s">
        <v>55</v>
      </c>
    </row>
    <row r="40" ht="15.75" customHeight="1">
      <c r="A40" s="22">
        <v>39.0</v>
      </c>
      <c r="B40" s="23">
        <v>45656.0</v>
      </c>
      <c r="C40" s="22" t="s">
        <v>45</v>
      </c>
      <c r="D40" s="34">
        <v>-170.7</v>
      </c>
      <c r="E40" s="25">
        <v>5157.96</v>
      </c>
      <c r="F40" s="26">
        <v>-0.0331</v>
      </c>
      <c r="G40" s="22">
        <v>6.0</v>
      </c>
      <c r="H40" s="27" t="s">
        <v>55</v>
      </c>
    </row>
    <row r="41" ht="15.75" customHeight="1">
      <c r="A41" s="28">
        <v>40.0</v>
      </c>
      <c r="B41" s="29">
        <v>45658.0</v>
      </c>
      <c r="C41" s="28" t="s">
        <v>56</v>
      </c>
      <c r="D41" s="30">
        <v>336.42</v>
      </c>
      <c r="E41" s="31">
        <v>3733.15</v>
      </c>
      <c r="F41" s="32">
        <v>0.0901</v>
      </c>
      <c r="G41" s="28">
        <v>3.0</v>
      </c>
      <c r="H41" s="33" t="s">
        <v>57</v>
      </c>
    </row>
    <row r="42" ht="15.75" customHeight="1">
      <c r="A42" s="22">
        <v>41.0</v>
      </c>
      <c r="B42" s="23">
        <v>45659.0</v>
      </c>
      <c r="C42" s="22" t="s">
        <v>56</v>
      </c>
      <c r="D42" s="24">
        <v>185.11</v>
      </c>
      <c r="E42" s="25">
        <v>3240.61</v>
      </c>
      <c r="F42" s="26">
        <v>0.0571</v>
      </c>
      <c r="G42" s="22">
        <v>3.0</v>
      </c>
      <c r="H42" s="27" t="s">
        <v>57</v>
      </c>
    </row>
    <row r="43" ht="15.75" customHeight="1">
      <c r="A43" s="28">
        <v>42.0</v>
      </c>
      <c r="B43" s="29">
        <v>45660.0</v>
      </c>
      <c r="C43" s="28" t="s">
        <v>56</v>
      </c>
      <c r="D43" s="30">
        <v>56.05</v>
      </c>
      <c r="E43" s="31">
        <v>3517.39</v>
      </c>
      <c r="F43" s="32">
        <v>0.0159</v>
      </c>
      <c r="G43" s="28">
        <v>3.0</v>
      </c>
      <c r="H43" s="33" t="s">
        <v>57</v>
      </c>
    </row>
    <row r="44" ht="15.75" customHeight="1">
      <c r="A44" s="22">
        <v>43.0</v>
      </c>
      <c r="B44" s="23">
        <v>45661.0</v>
      </c>
      <c r="C44" s="22" t="s">
        <v>56</v>
      </c>
      <c r="D44" s="24">
        <v>9.45</v>
      </c>
      <c r="E44" s="25">
        <v>3373.44</v>
      </c>
      <c r="F44" s="26">
        <v>0.0028</v>
      </c>
      <c r="G44" s="22">
        <v>3.0</v>
      </c>
      <c r="H44" s="27" t="s">
        <v>57</v>
      </c>
    </row>
    <row r="45" ht="15.75" customHeight="1">
      <c r="A45" s="28">
        <v>44.0</v>
      </c>
      <c r="B45" s="29">
        <v>45662.0</v>
      </c>
      <c r="C45" s="28" t="s">
        <v>56</v>
      </c>
      <c r="D45" s="30">
        <v>177.18</v>
      </c>
      <c r="E45" s="31">
        <v>4082.89</v>
      </c>
      <c r="F45" s="32">
        <v>0.0434</v>
      </c>
      <c r="G45" s="28">
        <v>3.0</v>
      </c>
      <c r="H45" s="33" t="s">
        <v>57</v>
      </c>
    </row>
    <row r="46" ht="15.75" customHeight="1">
      <c r="A46" s="22">
        <v>45.0</v>
      </c>
      <c r="B46" s="23">
        <v>45663.0</v>
      </c>
      <c r="C46" s="22" t="s">
        <v>56</v>
      </c>
      <c r="D46" s="34">
        <v>-540.63</v>
      </c>
      <c r="E46" s="25">
        <v>4889.58</v>
      </c>
      <c r="F46" s="26">
        <v>-0.1106</v>
      </c>
      <c r="G46" s="22">
        <v>3.0</v>
      </c>
      <c r="H46" s="27" t="s">
        <v>57</v>
      </c>
    </row>
    <row r="47" ht="15.75" customHeight="1">
      <c r="A47" s="28">
        <v>46.0</v>
      </c>
      <c r="B47" s="29">
        <v>45664.0</v>
      </c>
      <c r="C47" s="28" t="s">
        <v>56</v>
      </c>
      <c r="D47" s="30">
        <v>148.95</v>
      </c>
      <c r="E47" s="31">
        <v>4567.91</v>
      </c>
      <c r="F47" s="32">
        <v>0.0326</v>
      </c>
      <c r="G47" s="28">
        <v>3.0</v>
      </c>
      <c r="H47" s="33" t="s">
        <v>57</v>
      </c>
    </row>
    <row r="48" ht="15.75" customHeight="1">
      <c r="A48" s="22">
        <v>47.0</v>
      </c>
      <c r="B48" s="23">
        <v>45665.0</v>
      </c>
      <c r="C48" s="22" t="s">
        <v>56</v>
      </c>
      <c r="D48" s="24">
        <v>293.89</v>
      </c>
      <c r="E48" s="25">
        <v>6196.86</v>
      </c>
      <c r="F48" s="26">
        <v>0.0474</v>
      </c>
      <c r="G48" s="22">
        <v>3.0</v>
      </c>
      <c r="H48" s="27" t="s">
        <v>57</v>
      </c>
    </row>
    <row r="49" ht="15.75" customHeight="1">
      <c r="A49" s="28">
        <v>48.0</v>
      </c>
      <c r="B49" s="29">
        <v>45666.0</v>
      </c>
      <c r="C49" s="28" t="s">
        <v>56</v>
      </c>
      <c r="D49" s="30">
        <v>331.49</v>
      </c>
      <c r="E49" s="31">
        <v>5890.75</v>
      </c>
      <c r="F49" s="32">
        <v>0.0563</v>
      </c>
      <c r="G49" s="28">
        <v>3.0</v>
      </c>
      <c r="H49" s="33" t="s">
        <v>57</v>
      </c>
    </row>
    <row r="50" ht="15.75" customHeight="1">
      <c r="A50" s="22">
        <v>49.0</v>
      </c>
      <c r="B50" s="23">
        <v>45667.0</v>
      </c>
      <c r="C50" s="22" t="s">
        <v>56</v>
      </c>
      <c r="D50" s="24">
        <v>586.48</v>
      </c>
      <c r="E50" s="25">
        <v>4222.24</v>
      </c>
      <c r="F50" s="26">
        <v>0.1389</v>
      </c>
      <c r="G50" s="22">
        <v>3.0</v>
      </c>
      <c r="H50" s="27" t="s">
        <v>57</v>
      </c>
    </row>
    <row r="51" ht="15.75" customHeight="1">
      <c r="A51" s="28">
        <v>50.0</v>
      </c>
      <c r="B51" s="29">
        <v>45668.0</v>
      </c>
      <c r="C51" s="28" t="s">
        <v>56</v>
      </c>
      <c r="D51" s="35">
        <v>-677.62</v>
      </c>
      <c r="E51" s="31">
        <v>7308.72</v>
      </c>
      <c r="F51" s="32">
        <v>-0.0927</v>
      </c>
      <c r="G51" s="28">
        <v>3.0</v>
      </c>
      <c r="H51" s="33" t="s">
        <v>57</v>
      </c>
    </row>
    <row r="52" ht="15.75" customHeight="1">
      <c r="A52" s="22">
        <v>51.0</v>
      </c>
      <c r="B52" s="23">
        <v>45669.0</v>
      </c>
      <c r="C52" s="22" t="s">
        <v>56</v>
      </c>
      <c r="D52" s="34">
        <v>-267.96</v>
      </c>
      <c r="E52" s="25">
        <v>8180.72</v>
      </c>
      <c r="F52" s="26">
        <v>-0.0328</v>
      </c>
      <c r="G52" s="22">
        <v>3.0</v>
      </c>
      <c r="H52" s="27" t="s">
        <v>57</v>
      </c>
    </row>
    <row r="53" ht="15.75" customHeight="1">
      <c r="A53" s="28">
        <v>52.0</v>
      </c>
      <c r="B53" s="29">
        <v>45670.0</v>
      </c>
      <c r="C53" s="28" t="s">
        <v>56</v>
      </c>
      <c r="D53" s="35">
        <v>-261.81</v>
      </c>
      <c r="E53" s="31">
        <v>3596.14</v>
      </c>
      <c r="F53" s="32">
        <v>-0.0728</v>
      </c>
      <c r="G53" s="28">
        <v>3.0</v>
      </c>
      <c r="H53" s="33" t="s">
        <v>57</v>
      </c>
    </row>
    <row r="54" ht="15.75" customHeight="1">
      <c r="A54" s="22">
        <v>53.0</v>
      </c>
      <c r="B54" s="23">
        <v>45671.0</v>
      </c>
      <c r="C54" s="22" t="s">
        <v>56</v>
      </c>
      <c r="D54" s="24">
        <v>368.75</v>
      </c>
      <c r="E54" s="25">
        <v>4264.33</v>
      </c>
      <c r="F54" s="26">
        <v>0.0865</v>
      </c>
      <c r="G54" s="22">
        <v>6.0</v>
      </c>
      <c r="H54" s="27" t="s">
        <v>58</v>
      </c>
    </row>
    <row r="55" ht="15.75" customHeight="1">
      <c r="A55" s="28">
        <v>54.0</v>
      </c>
      <c r="B55" s="29">
        <v>45672.0</v>
      </c>
      <c r="C55" s="28" t="s">
        <v>56</v>
      </c>
      <c r="D55" s="30">
        <v>393.02</v>
      </c>
      <c r="E55" s="31">
        <v>3959.88</v>
      </c>
      <c r="F55" s="32">
        <v>0.0993</v>
      </c>
      <c r="G55" s="28">
        <v>5.0</v>
      </c>
      <c r="H55" s="33" t="s">
        <v>59</v>
      </c>
    </row>
    <row r="56" ht="15.75" customHeight="1">
      <c r="A56" s="22">
        <v>55.0</v>
      </c>
      <c r="B56" s="23">
        <v>45673.0</v>
      </c>
      <c r="C56" s="22" t="s">
        <v>56</v>
      </c>
      <c r="D56" s="34">
        <v>-315.06</v>
      </c>
      <c r="E56" s="25">
        <v>4352.9</v>
      </c>
      <c r="F56" s="26">
        <v>-0.0724</v>
      </c>
      <c r="G56" s="22">
        <v>4.0</v>
      </c>
      <c r="H56" s="27" t="s">
        <v>60</v>
      </c>
    </row>
    <row r="57" ht="15.75" customHeight="1">
      <c r="A57" s="28">
        <v>56.0</v>
      </c>
      <c r="B57" s="29">
        <v>45674.0</v>
      </c>
      <c r="C57" s="28" t="s">
        <v>56</v>
      </c>
      <c r="D57" s="30">
        <v>546.77</v>
      </c>
      <c r="E57" s="31">
        <v>6247.74</v>
      </c>
      <c r="F57" s="32">
        <v>0.0875</v>
      </c>
      <c r="G57" s="28">
        <v>4.0</v>
      </c>
      <c r="H57" s="33" t="s">
        <v>60</v>
      </c>
    </row>
    <row r="58" ht="15.75" customHeight="1">
      <c r="A58" s="22">
        <v>57.0</v>
      </c>
      <c r="B58" s="23">
        <v>45675.0</v>
      </c>
      <c r="C58" s="22" t="s">
        <v>56</v>
      </c>
      <c r="D58" s="24">
        <v>95.48</v>
      </c>
      <c r="E58" s="25">
        <v>5422.52</v>
      </c>
      <c r="F58" s="26">
        <v>0.0176</v>
      </c>
      <c r="G58" s="22">
        <v>3.0</v>
      </c>
      <c r="H58" s="27" t="s">
        <v>57</v>
      </c>
    </row>
    <row r="59" ht="15.75" customHeight="1">
      <c r="A59" s="28">
        <v>58.0</v>
      </c>
      <c r="B59" s="29">
        <v>45676.0</v>
      </c>
      <c r="C59" s="28" t="s">
        <v>56</v>
      </c>
      <c r="D59" s="30">
        <v>204.68</v>
      </c>
      <c r="E59" s="31">
        <v>6518.0</v>
      </c>
      <c r="F59" s="32">
        <v>0.0314</v>
      </c>
      <c r="G59" s="28">
        <v>3.0</v>
      </c>
      <c r="H59" s="33" t="s">
        <v>57</v>
      </c>
    </row>
    <row r="60" ht="15.75" customHeight="1">
      <c r="A60" s="22">
        <v>59.0</v>
      </c>
      <c r="B60" s="23">
        <v>45677.0</v>
      </c>
      <c r="C60" s="22" t="s">
        <v>56</v>
      </c>
      <c r="D60" s="34">
        <v>-5.0</v>
      </c>
      <c r="E60" s="25">
        <v>6718.61</v>
      </c>
      <c r="F60" s="26">
        <v>-7.0E-4</v>
      </c>
      <c r="G60" s="22">
        <v>3.0</v>
      </c>
      <c r="H60" s="27" t="s">
        <v>57</v>
      </c>
    </row>
    <row r="61" ht="15.75" customHeight="1">
      <c r="A61" s="28">
        <v>60.0</v>
      </c>
      <c r="B61" s="29">
        <v>45678.0</v>
      </c>
      <c r="C61" s="28" t="s">
        <v>56</v>
      </c>
      <c r="D61" s="30">
        <v>401.31</v>
      </c>
      <c r="E61" s="31">
        <v>6713.61</v>
      </c>
      <c r="F61" s="32">
        <v>0.0598</v>
      </c>
      <c r="G61" s="28">
        <v>4.0</v>
      </c>
      <c r="H61" s="33" t="s">
        <v>43</v>
      </c>
    </row>
    <row r="62" ht="15.75" customHeight="1">
      <c r="A62" s="22">
        <v>61.0</v>
      </c>
      <c r="B62" s="23">
        <v>45679.0</v>
      </c>
      <c r="C62" s="22" t="s">
        <v>56</v>
      </c>
      <c r="D62" s="24">
        <v>21.76</v>
      </c>
      <c r="E62" s="25">
        <v>6236.92</v>
      </c>
      <c r="F62" s="26">
        <v>0.0035</v>
      </c>
      <c r="G62" s="22">
        <v>4.0</v>
      </c>
      <c r="H62" s="27" t="s">
        <v>43</v>
      </c>
    </row>
    <row r="63" ht="15.75" customHeight="1">
      <c r="A63" s="28">
        <v>62.0</v>
      </c>
      <c r="B63" s="29">
        <v>45680.0</v>
      </c>
      <c r="C63" s="28" t="s">
        <v>56</v>
      </c>
      <c r="D63" s="30">
        <v>1042.62</v>
      </c>
      <c r="E63" s="31">
        <v>6059.91</v>
      </c>
      <c r="F63" s="32">
        <v>0.1721</v>
      </c>
      <c r="G63" s="28">
        <v>4.0</v>
      </c>
      <c r="H63" s="33" t="s">
        <v>43</v>
      </c>
    </row>
    <row r="64" ht="15.75" customHeight="1">
      <c r="A64" s="22">
        <v>63.0</v>
      </c>
      <c r="B64" s="23">
        <v>45681.0</v>
      </c>
      <c r="C64" s="22" t="s">
        <v>56</v>
      </c>
      <c r="D64" s="36">
        <v>0.0</v>
      </c>
      <c r="E64" s="25">
        <v>7102.53</v>
      </c>
      <c r="F64" s="26">
        <v>0.0</v>
      </c>
      <c r="G64" s="22">
        <v>4.0</v>
      </c>
      <c r="H64" s="27" t="s">
        <v>43</v>
      </c>
    </row>
    <row r="65" ht="15.75" customHeight="1">
      <c r="A65" s="28">
        <v>64.0</v>
      </c>
      <c r="B65" s="29">
        <v>45682.0</v>
      </c>
      <c r="C65" s="28" t="s">
        <v>56</v>
      </c>
      <c r="D65" s="30">
        <v>224.36</v>
      </c>
      <c r="E65" s="31">
        <v>8602.53</v>
      </c>
      <c r="F65" s="32">
        <v>0.0261</v>
      </c>
      <c r="G65" s="28">
        <v>4.0</v>
      </c>
      <c r="H65" s="33" t="s">
        <v>43</v>
      </c>
    </row>
    <row r="66" ht="15.75" customHeight="1">
      <c r="A66" s="22">
        <v>65.0</v>
      </c>
      <c r="B66" s="23">
        <v>45683.0</v>
      </c>
      <c r="C66" s="22" t="s">
        <v>56</v>
      </c>
      <c r="D66" s="34">
        <v>-10.0</v>
      </c>
      <c r="E66" s="25">
        <v>8326.89</v>
      </c>
      <c r="F66" s="26">
        <v>-0.0012</v>
      </c>
      <c r="G66" s="22">
        <v>4.0</v>
      </c>
      <c r="H66" s="27" t="s">
        <v>43</v>
      </c>
    </row>
    <row r="67" ht="15.75" customHeight="1">
      <c r="A67" s="28">
        <v>66.0</v>
      </c>
      <c r="B67" s="29">
        <v>45684.0</v>
      </c>
      <c r="C67" s="28" t="s">
        <v>56</v>
      </c>
      <c r="D67" s="30">
        <v>161.24</v>
      </c>
      <c r="E67" s="31">
        <v>5755.46</v>
      </c>
      <c r="F67" s="32">
        <v>0.028</v>
      </c>
      <c r="G67" s="28">
        <v>4.0</v>
      </c>
      <c r="H67" s="33" t="s">
        <v>43</v>
      </c>
    </row>
    <row r="68" ht="15.75" customHeight="1">
      <c r="A68" s="22">
        <v>67.0</v>
      </c>
      <c r="B68" s="23">
        <v>45685.0</v>
      </c>
      <c r="C68" s="22" t="s">
        <v>56</v>
      </c>
      <c r="D68" s="24">
        <v>93.0</v>
      </c>
      <c r="E68" s="25">
        <v>7666.7</v>
      </c>
      <c r="F68" s="26">
        <v>0.0121</v>
      </c>
      <c r="G68" s="22">
        <v>4.0</v>
      </c>
      <c r="H68" s="27" t="s">
        <v>61</v>
      </c>
    </row>
    <row r="69" ht="15.75" customHeight="1">
      <c r="A69" s="28">
        <v>68.0</v>
      </c>
      <c r="B69" s="29">
        <v>45686.0</v>
      </c>
      <c r="C69" s="28" t="s">
        <v>56</v>
      </c>
      <c r="D69" s="30">
        <v>444.64</v>
      </c>
      <c r="E69" s="31">
        <v>7849.7</v>
      </c>
      <c r="F69" s="32">
        <v>0.0566</v>
      </c>
      <c r="G69" s="28">
        <v>6.0</v>
      </c>
      <c r="H69" s="33" t="s">
        <v>62</v>
      </c>
    </row>
    <row r="70" ht="15.75" customHeight="1">
      <c r="A70" s="22">
        <v>69.0</v>
      </c>
      <c r="B70" s="23">
        <v>45687.0</v>
      </c>
      <c r="C70" s="22" t="s">
        <v>56</v>
      </c>
      <c r="D70" s="24">
        <v>318.9</v>
      </c>
      <c r="E70" s="25">
        <v>8294.34</v>
      </c>
      <c r="F70" s="26">
        <v>0.0384</v>
      </c>
      <c r="G70" s="22">
        <v>5.0</v>
      </c>
      <c r="H70" s="27" t="s">
        <v>63</v>
      </c>
    </row>
    <row r="71" ht="15.75" customHeight="1">
      <c r="A71" s="28">
        <v>70.0</v>
      </c>
      <c r="B71" s="29">
        <v>45688.0</v>
      </c>
      <c r="C71" s="28" t="s">
        <v>56</v>
      </c>
      <c r="D71" s="30">
        <v>220.31</v>
      </c>
      <c r="E71" s="31">
        <v>8113.24</v>
      </c>
      <c r="F71" s="32">
        <v>0.0272</v>
      </c>
      <c r="G71" s="28">
        <v>5.0</v>
      </c>
      <c r="H71" s="33" t="s">
        <v>63</v>
      </c>
    </row>
    <row r="72" ht="15.75" customHeight="1">
      <c r="A72" s="22">
        <v>71.0</v>
      </c>
      <c r="B72" s="23">
        <v>45689.0</v>
      </c>
      <c r="C72" s="22" t="s">
        <v>64</v>
      </c>
      <c r="D72" s="24">
        <v>348.92</v>
      </c>
      <c r="E72" s="25">
        <v>8333.55</v>
      </c>
      <c r="F72" s="26">
        <v>0.0419</v>
      </c>
      <c r="G72" s="22">
        <v>5.0</v>
      </c>
      <c r="H72" s="27" t="s">
        <v>63</v>
      </c>
    </row>
    <row r="73" ht="15.75" customHeight="1">
      <c r="A73" s="28">
        <v>72.0</v>
      </c>
      <c r="B73" s="29">
        <v>45690.0</v>
      </c>
      <c r="C73" s="28" t="s">
        <v>64</v>
      </c>
      <c r="D73" s="30">
        <v>25.68</v>
      </c>
      <c r="E73" s="31">
        <v>8082.47</v>
      </c>
      <c r="F73" s="32">
        <v>0.0032</v>
      </c>
      <c r="G73" s="28">
        <v>5.0</v>
      </c>
      <c r="H73" s="33" t="s">
        <v>63</v>
      </c>
    </row>
    <row r="74" ht="15.75" customHeight="1">
      <c r="A74" s="22">
        <v>73.0</v>
      </c>
      <c r="B74" s="23">
        <v>45691.0</v>
      </c>
      <c r="C74" s="22" t="s">
        <v>64</v>
      </c>
      <c r="D74" s="34">
        <v>-149.25</v>
      </c>
      <c r="E74" s="25">
        <v>8143.23</v>
      </c>
      <c r="F74" s="26">
        <v>-0.0183</v>
      </c>
      <c r="G74" s="22">
        <v>5.0</v>
      </c>
      <c r="H74" s="27" t="s">
        <v>63</v>
      </c>
    </row>
    <row r="75" ht="15.75" customHeight="1">
      <c r="A75" s="28">
        <v>74.0</v>
      </c>
      <c r="B75" s="29">
        <v>45692.0</v>
      </c>
      <c r="C75" s="28" t="s">
        <v>64</v>
      </c>
      <c r="D75" s="37">
        <v>0.0</v>
      </c>
      <c r="E75" s="31">
        <v>4185.15</v>
      </c>
      <c r="F75" s="32">
        <v>0.0</v>
      </c>
      <c r="G75" s="28">
        <v>3.0</v>
      </c>
      <c r="H75" s="33" t="s">
        <v>65</v>
      </c>
    </row>
    <row r="76" ht="15.75" customHeight="1">
      <c r="A76" s="22">
        <v>75.0</v>
      </c>
      <c r="B76" s="23">
        <v>45693.0</v>
      </c>
      <c r="C76" s="22" t="s">
        <v>64</v>
      </c>
      <c r="D76" s="24">
        <v>626.69</v>
      </c>
      <c r="E76" s="25">
        <v>5685.15</v>
      </c>
      <c r="F76" s="26">
        <v>0.1102</v>
      </c>
      <c r="G76" s="22">
        <v>4.0</v>
      </c>
      <c r="H76" s="27" t="s">
        <v>61</v>
      </c>
    </row>
    <row r="77" ht="15.75" customHeight="1">
      <c r="A77" s="28">
        <v>76.0</v>
      </c>
      <c r="B77" s="29">
        <v>45694.0</v>
      </c>
      <c r="C77" s="28" t="s">
        <v>64</v>
      </c>
      <c r="D77" s="30">
        <v>71.5</v>
      </c>
      <c r="E77" s="31">
        <v>7351.84</v>
      </c>
      <c r="F77" s="32">
        <v>0.0097</v>
      </c>
      <c r="G77" s="28">
        <v>4.0</v>
      </c>
      <c r="H77" s="33" t="s">
        <v>61</v>
      </c>
    </row>
    <row r="78" ht="15.75" customHeight="1">
      <c r="A78" s="22">
        <v>77.0</v>
      </c>
      <c r="B78" s="23">
        <v>45695.0</v>
      </c>
      <c r="C78" s="22" t="s">
        <v>64</v>
      </c>
      <c r="D78" s="24">
        <v>252.52</v>
      </c>
      <c r="E78" s="25">
        <v>5201.84</v>
      </c>
      <c r="F78" s="26">
        <v>0.0485</v>
      </c>
      <c r="G78" s="22">
        <v>4.0</v>
      </c>
      <c r="H78" s="27" t="s">
        <v>61</v>
      </c>
    </row>
    <row r="79" ht="15.75" customHeight="1">
      <c r="A79" s="28">
        <v>78.0</v>
      </c>
      <c r="B79" s="29">
        <v>45696.0</v>
      </c>
      <c r="C79" s="28" t="s">
        <v>64</v>
      </c>
      <c r="D79" s="30">
        <v>348.37</v>
      </c>
      <c r="E79" s="31">
        <v>5954.36</v>
      </c>
      <c r="F79" s="32">
        <v>0.0585</v>
      </c>
      <c r="G79" s="28">
        <v>4.0</v>
      </c>
      <c r="H79" s="33" t="s">
        <v>61</v>
      </c>
    </row>
    <row r="80" ht="15.75" customHeight="1">
      <c r="A80" s="22">
        <v>79.0</v>
      </c>
      <c r="B80" s="23">
        <v>45697.0</v>
      </c>
      <c r="C80" s="22" t="s">
        <v>64</v>
      </c>
      <c r="D80" s="36">
        <v>0.0</v>
      </c>
      <c r="E80" s="25">
        <v>6326.03</v>
      </c>
      <c r="F80" s="26">
        <v>0.0</v>
      </c>
      <c r="G80" s="22">
        <v>4.0</v>
      </c>
      <c r="H80" s="27" t="s">
        <v>61</v>
      </c>
    </row>
    <row r="81" ht="15.75" customHeight="1">
      <c r="A81" s="28">
        <v>80.0</v>
      </c>
      <c r="B81" s="29">
        <v>45698.0</v>
      </c>
      <c r="C81" s="28" t="s">
        <v>64</v>
      </c>
      <c r="D81" s="30">
        <v>206.75</v>
      </c>
      <c r="E81" s="31">
        <v>6326.03</v>
      </c>
      <c r="F81" s="32">
        <v>0.0327</v>
      </c>
      <c r="G81" s="28">
        <v>4.0</v>
      </c>
      <c r="H81" s="33" t="s">
        <v>61</v>
      </c>
    </row>
    <row r="82" ht="15.75" customHeight="1">
      <c r="A82" s="22">
        <v>81.0</v>
      </c>
      <c r="B82" s="23">
        <v>45699.0</v>
      </c>
      <c r="C82" s="22" t="s">
        <v>64</v>
      </c>
      <c r="D82" s="36">
        <v>0.0</v>
      </c>
      <c r="E82" s="25">
        <v>2795.17</v>
      </c>
      <c r="F82" s="26">
        <v>0.0</v>
      </c>
      <c r="G82" s="22">
        <v>4.0</v>
      </c>
      <c r="H82" s="27" t="s">
        <v>61</v>
      </c>
    </row>
    <row r="83" ht="15.75" customHeight="1">
      <c r="A83" s="28">
        <v>82.0</v>
      </c>
      <c r="B83" s="29">
        <v>45700.0</v>
      </c>
      <c r="C83" s="28" t="s">
        <v>64</v>
      </c>
      <c r="D83" s="30">
        <v>206.59</v>
      </c>
      <c r="E83" s="31">
        <v>4795.17</v>
      </c>
      <c r="F83" s="32">
        <v>0.0431</v>
      </c>
      <c r="G83" s="28">
        <v>5.0</v>
      </c>
      <c r="H83" s="33" t="s">
        <v>63</v>
      </c>
    </row>
    <row r="84" ht="15.75" customHeight="1">
      <c r="A84" s="22">
        <v>83.0</v>
      </c>
      <c r="B84" s="23">
        <v>45705.0</v>
      </c>
      <c r="C84" s="22" t="s">
        <v>64</v>
      </c>
      <c r="D84" s="24">
        <v>52.43</v>
      </c>
      <c r="E84" s="25">
        <v>4380.76</v>
      </c>
      <c r="F84" s="26">
        <v>0.012</v>
      </c>
      <c r="G84" s="22">
        <v>5.0</v>
      </c>
      <c r="H84" s="27" t="s">
        <v>63</v>
      </c>
    </row>
    <row r="85" ht="15.75" customHeight="1">
      <c r="A85" s="28">
        <v>84.0</v>
      </c>
      <c r="B85" s="29">
        <v>45706.0</v>
      </c>
      <c r="C85" s="28" t="s">
        <v>64</v>
      </c>
      <c r="D85" s="30">
        <v>28.0</v>
      </c>
      <c r="E85" s="31">
        <v>4943.19</v>
      </c>
      <c r="F85" s="32">
        <v>0.0057</v>
      </c>
      <c r="G85" s="28">
        <v>6.0</v>
      </c>
      <c r="H85" s="33" t="s">
        <v>66</v>
      </c>
    </row>
    <row r="86" ht="15.75" customHeight="1">
      <c r="A86" s="22">
        <v>85.0</v>
      </c>
      <c r="B86" s="23">
        <v>45708.0</v>
      </c>
      <c r="C86" s="22" t="s">
        <v>64</v>
      </c>
      <c r="D86" s="24">
        <v>91.98</v>
      </c>
      <c r="E86" s="25">
        <v>4901.3</v>
      </c>
      <c r="F86" s="26">
        <v>0.0188</v>
      </c>
      <c r="G86" s="22">
        <v>6.0</v>
      </c>
      <c r="H86" s="27" t="s">
        <v>66</v>
      </c>
    </row>
    <row r="87" ht="15.75" customHeight="1">
      <c r="A87" s="28">
        <v>86.0</v>
      </c>
      <c r="B87" s="29">
        <v>45709.0</v>
      </c>
      <c r="C87" s="28" t="s">
        <v>64</v>
      </c>
      <c r="D87" s="30">
        <v>460.65</v>
      </c>
      <c r="E87" s="31">
        <v>5993.28</v>
      </c>
      <c r="F87" s="32">
        <v>0.0769</v>
      </c>
      <c r="G87" s="28">
        <v>6.0</v>
      </c>
      <c r="H87" s="33" t="s">
        <v>66</v>
      </c>
    </row>
    <row r="88" ht="15.75" customHeight="1">
      <c r="A88" s="22">
        <v>87.0</v>
      </c>
      <c r="B88" s="23">
        <v>45710.0</v>
      </c>
      <c r="C88" s="22" t="s">
        <v>64</v>
      </c>
      <c r="D88" s="24">
        <v>36.31</v>
      </c>
      <c r="E88" s="25">
        <v>8453.93</v>
      </c>
      <c r="F88" s="26">
        <v>0.0043</v>
      </c>
      <c r="G88" s="22">
        <v>6.0</v>
      </c>
      <c r="H88" s="27" t="s">
        <v>66</v>
      </c>
    </row>
    <row r="89" ht="15.75" customHeight="1">
      <c r="A89" s="28">
        <v>88.0</v>
      </c>
      <c r="B89" s="29">
        <v>45711.0</v>
      </c>
      <c r="C89" s="28" t="s">
        <v>64</v>
      </c>
      <c r="D89" s="30">
        <v>44.94</v>
      </c>
      <c r="E89" s="31">
        <v>8490.24</v>
      </c>
      <c r="F89" s="32">
        <v>0.0053</v>
      </c>
      <c r="G89" s="28">
        <v>6.0</v>
      </c>
      <c r="H89" s="33" t="s">
        <v>66</v>
      </c>
    </row>
    <row r="90" ht="15.75" customHeight="1">
      <c r="A90" s="22">
        <v>89.0</v>
      </c>
      <c r="B90" s="23">
        <v>45713.0</v>
      </c>
      <c r="C90" s="22" t="s">
        <v>64</v>
      </c>
      <c r="D90" s="24">
        <v>56.8</v>
      </c>
      <c r="E90" s="25">
        <v>6726.99</v>
      </c>
      <c r="F90" s="26">
        <v>0.0084</v>
      </c>
      <c r="G90" s="22">
        <v>6.0</v>
      </c>
      <c r="H90" s="27" t="s">
        <v>66</v>
      </c>
    </row>
    <row r="91" ht="15.75" customHeight="1">
      <c r="A91" s="28">
        <v>90.0</v>
      </c>
      <c r="B91" s="29">
        <v>45716.0</v>
      </c>
      <c r="C91" s="28" t="s">
        <v>64</v>
      </c>
      <c r="D91" s="30">
        <v>2154.44</v>
      </c>
      <c r="E91" s="31">
        <v>7166.94</v>
      </c>
      <c r="F91" s="32">
        <v>0.3006</v>
      </c>
      <c r="G91" s="28">
        <v>6.0</v>
      </c>
      <c r="H91" s="33" t="s">
        <v>66</v>
      </c>
    </row>
    <row r="92" ht="15.75" customHeight="1">
      <c r="A92" s="22">
        <v>91.0</v>
      </c>
      <c r="B92" s="23">
        <v>45717.0</v>
      </c>
      <c r="C92" s="22" t="s">
        <v>67</v>
      </c>
      <c r="D92" s="34">
        <v>-275.2</v>
      </c>
      <c r="E92" s="25">
        <v>8821.38</v>
      </c>
      <c r="F92" s="26">
        <v>-0.0312</v>
      </c>
      <c r="G92" s="22">
        <v>6.0</v>
      </c>
      <c r="H92" s="27" t="s">
        <v>66</v>
      </c>
    </row>
    <row r="93" ht="15.75" customHeight="1">
      <c r="A93" s="28">
        <v>92.0</v>
      </c>
      <c r="B93" s="29">
        <v>45719.0</v>
      </c>
      <c r="C93" s="28" t="s">
        <v>67</v>
      </c>
      <c r="D93" s="30">
        <v>32.8</v>
      </c>
      <c r="E93" s="31">
        <v>8046.18</v>
      </c>
      <c r="F93" s="32">
        <v>0.0041</v>
      </c>
      <c r="G93" s="28">
        <v>6.0</v>
      </c>
      <c r="H93" s="33" t="s">
        <v>66</v>
      </c>
    </row>
    <row r="94" ht="15.75" customHeight="1">
      <c r="A94" s="22">
        <v>93.0</v>
      </c>
      <c r="B94" s="23">
        <v>45720.0</v>
      </c>
      <c r="C94" s="22" t="s">
        <v>67</v>
      </c>
      <c r="D94" s="34">
        <v>-96.08</v>
      </c>
      <c r="E94" s="25">
        <v>8578.98</v>
      </c>
      <c r="F94" s="26">
        <v>-0.0112</v>
      </c>
      <c r="G94" s="22">
        <v>6.0</v>
      </c>
      <c r="H94" s="27" t="s">
        <v>66</v>
      </c>
    </row>
    <row r="95" ht="15.75" customHeight="1">
      <c r="A95" s="28">
        <v>94.0</v>
      </c>
      <c r="B95" s="29">
        <v>45721.0</v>
      </c>
      <c r="C95" s="28" t="s">
        <v>67</v>
      </c>
      <c r="D95" s="30">
        <v>484.91</v>
      </c>
      <c r="E95" s="31">
        <v>5507.38</v>
      </c>
      <c r="F95" s="32">
        <v>0.088</v>
      </c>
      <c r="G95" s="28">
        <v>6.0</v>
      </c>
      <c r="H95" s="33" t="s">
        <v>66</v>
      </c>
    </row>
    <row r="96" ht="15.75" customHeight="1">
      <c r="A96" s="22">
        <v>95.0</v>
      </c>
      <c r="B96" s="23">
        <v>45722.0</v>
      </c>
      <c r="C96" s="22" t="s">
        <v>67</v>
      </c>
      <c r="D96" s="34">
        <v>-281.13</v>
      </c>
      <c r="E96" s="25">
        <v>6392.29</v>
      </c>
      <c r="F96" s="26">
        <v>-0.044</v>
      </c>
      <c r="G96" s="22">
        <v>6.0</v>
      </c>
      <c r="H96" s="27" t="s">
        <v>66</v>
      </c>
    </row>
    <row r="97" ht="15.75" customHeight="1">
      <c r="A97" s="28">
        <v>96.0</v>
      </c>
      <c r="B97" s="29">
        <v>45723.0</v>
      </c>
      <c r="C97" s="28" t="s">
        <v>67</v>
      </c>
      <c r="D97" s="30">
        <v>902.65</v>
      </c>
      <c r="E97" s="31">
        <v>6041.36</v>
      </c>
      <c r="F97" s="32">
        <v>0.1494</v>
      </c>
      <c r="G97" s="28">
        <v>6.0</v>
      </c>
      <c r="H97" s="33" t="s">
        <v>66</v>
      </c>
    </row>
    <row r="98" ht="15.75" customHeight="1">
      <c r="A98" s="22">
        <v>97.0</v>
      </c>
      <c r="B98" s="23">
        <v>45724.0</v>
      </c>
      <c r="C98" s="22" t="s">
        <v>67</v>
      </c>
      <c r="D98" s="24">
        <v>74.15</v>
      </c>
      <c r="E98" s="25">
        <v>7244.01</v>
      </c>
      <c r="F98" s="26">
        <v>0.0102</v>
      </c>
      <c r="G98" s="22">
        <v>6.0</v>
      </c>
      <c r="H98" s="27" t="s">
        <v>66</v>
      </c>
    </row>
    <row r="99" ht="15.75" customHeight="1">
      <c r="A99" s="28">
        <v>98.0</v>
      </c>
      <c r="B99" s="29">
        <v>45725.0</v>
      </c>
      <c r="C99" s="28" t="s">
        <v>67</v>
      </c>
      <c r="D99" s="30">
        <v>97.8</v>
      </c>
      <c r="E99" s="31">
        <v>6318.16</v>
      </c>
      <c r="F99" s="32">
        <v>0.0155</v>
      </c>
      <c r="G99" s="28">
        <v>6.0</v>
      </c>
      <c r="H99" s="33" t="s">
        <v>66</v>
      </c>
    </row>
    <row r="100" ht="15.75" customHeight="1">
      <c r="A100" s="22">
        <v>99.0</v>
      </c>
      <c r="B100" s="23">
        <v>45726.0</v>
      </c>
      <c r="C100" s="22" t="s">
        <v>67</v>
      </c>
      <c r="D100" s="24">
        <v>98.2</v>
      </c>
      <c r="E100" s="25">
        <v>7115.96</v>
      </c>
      <c r="F100" s="26">
        <v>0.0138</v>
      </c>
      <c r="G100" s="22">
        <v>6.0</v>
      </c>
      <c r="H100" s="27" t="s">
        <v>66</v>
      </c>
    </row>
    <row r="101" ht="15.75" customHeight="1">
      <c r="A101" s="28">
        <v>100.0</v>
      </c>
      <c r="B101" s="29">
        <v>45727.0</v>
      </c>
      <c r="C101" s="28" t="s">
        <v>67</v>
      </c>
      <c r="D101" s="30">
        <v>138.94</v>
      </c>
      <c r="E101" s="31">
        <v>6589.91</v>
      </c>
      <c r="F101" s="32">
        <v>0.0211</v>
      </c>
      <c r="G101" s="28">
        <v>6.0</v>
      </c>
      <c r="H101" s="33" t="s">
        <v>66</v>
      </c>
    </row>
    <row r="102" ht="15.75" customHeight="1">
      <c r="A102" s="22">
        <v>101.0</v>
      </c>
      <c r="B102" s="23">
        <v>45728.0</v>
      </c>
      <c r="C102" s="22" t="s">
        <v>67</v>
      </c>
      <c r="D102" s="34">
        <v>-48.03</v>
      </c>
      <c r="E102" s="25">
        <v>7228.85</v>
      </c>
      <c r="F102" s="26">
        <v>-0.0066</v>
      </c>
      <c r="G102" s="22">
        <v>6.0</v>
      </c>
      <c r="H102" s="27" t="s">
        <v>66</v>
      </c>
    </row>
    <row r="103" ht="15.75" customHeight="1">
      <c r="A103" s="28">
        <v>102.0</v>
      </c>
      <c r="B103" s="29">
        <v>45730.0</v>
      </c>
      <c r="C103" s="28" t="s">
        <v>67</v>
      </c>
      <c r="D103" s="30">
        <v>472.11</v>
      </c>
      <c r="E103" s="31">
        <v>5615.02</v>
      </c>
      <c r="F103" s="32">
        <v>0.0841</v>
      </c>
      <c r="G103" s="28">
        <v>6.0</v>
      </c>
      <c r="H103" s="33" t="s">
        <v>66</v>
      </c>
    </row>
    <row r="104" ht="15.75" customHeight="1">
      <c r="A104" s="22">
        <v>103.0</v>
      </c>
      <c r="B104" s="23">
        <v>45731.0</v>
      </c>
      <c r="C104" s="22" t="s">
        <v>67</v>
      </c>
      <c r="D104" s="24">
        <v>138.0</v>
      </c>
      <c r="E104" s="25">
        <v>4087.13</v>
      </c>
      <c r="F104" s="26">
        <v>0.0338</v>
      </c>
      <c r="G104" s="22">
        <v>6.0</v>
      </c>
      <c r="H104" s="27" t="s">
        <v>66</v>
      </c>
    </row>
    <row r="105" ht="15.75" customHeight="1">
      <c r="A105" s="28">
        <v>104.0</v>
      </c>
      <c r="B105" s="29">
        <v>45733.0</v>
      </c>
      <c r="C105" s="28" t="s">
        <v>67</v>
      </c>
      <c r="D105" s="30">
        <v>577.34</v>
      </c>
      <c r="E105" s="31">
        <v>6225.13</v>
      </c>
      <c r="F105" s="32">
        <v>0.0927</v>
      </c>
      <c r="G105" s="28">
        <v>6.0</v>
      </c>
      <c r="H105" s="33" t="s">
        <v>66</v>
      </c>
    </row>
    <row r="106" ht="15.75" customHeight="1">
      <c r="A106" s="22">
        <v>105.0</v>
      </c>
      <c r="B106" s="23">
        <v>45734.0</v>
      </c>
      <c r="C106" s="22" t="s">
        <v>67</v>
      </c>
      <c r="D106" s="24">
        <v>531.0</v>
      </c>
      <c r="E106" s="25">
        <v>7002.47</v>
      </c>
      <c r="F106" s="26">
        <v>0.0758</v>
      </c>
      <c r="G106" s="22">
        <v>6.0</v>
      </c>
      <c r="H106" s="27" t="s">
        <v>66</v>
      </c>
    </row>
    <row r="107" ht="15.75" customHeight="1">
      <c r="A107" s="28">
        <v>106.0</v>
      </c>
      <c r="B107" s="29">
        <v>45735.0</v>
      </c>
      <c r="C107" s="28" t="s">
        <v>67</v>
      </c>
      <c r="D107" s="30">
        <v>296.21</v>
      </c>
      <c r="E107" s="31">
        <v>8798.47</v>
      </c>
      <c r="F107" s="32">
        <v>0.0337</v>
      </c>
      <c r="G107" s="28">
        <v>6.0</v>
      </c>
      <c r="H107" s="33" t="s">
        <v>66</v>
      </c>
    </row>
    <row r="108" ht="15.75" customHeight="1">
      <c r="A108" s="22">
        <v>107.0</v>
      </c>
      <c r="B108" s="23">
        <v>45736.0</v>
      </c>
      <c r="C108" s="22" t="s">
        <v>67</v>
      </c>
      <c r="D108" s="24">
        <v>246.58</v>
      </c>
      <c r="E108" s="25">
        <v>8966.99</v>
      </c>
      <c r="F108" s="26">
        <v>0.0275</v>
      </c>
      <c r="G108" s="22">
        <v>6.0</v>
      </c>
      <c r="H108" s="27" t="s">
        <v>66</v>
      </c>
    </row>
    <row r="109" ht="15.75" customHeight="1">
      <c r="A109" s="28">
        <v>108.0</v>
      </c>
      <c r="B109" s="29">
        <v>45737.0</v>
      </c>
      <c r="C109" s="28" t="s">
        <v>67</v>
      </c>
      <c r="D109" s="30">
        <v>330.03</v>
      </c>
      <c r="E109" s="31">
        <v>13213.57</v>
      </c>
      <c r="F109" s="32">
        <v>0.025</v>
      </c>
      <c r="G109" s="28">
        <v>6.0</v>
      </c>
      <c r="H109" s="33" t="s">
        <v>66</v>
      </c>
    </row>
    <row r="110" ht="15.75" customHeight="1">
      <c r="A110" s="22">
        <v>109.0</v>
      </c>
      <c r="B110" s="23">
        <v>45740.0</v>
      </c>
      <c r="C110" s="22" t="s">
        <v>67</v>
      </c>
      <c r="D110" s="34">
        <v>-770.0</v>
      </c>
      <c r="E110" s="25">
        <v>12486.27</v>
      </c>
      <c r="F110" s="26">
        <v>-0.0617</v>
      </c>
      <c r="G110" s="22">
        <v>6.0</v>
      </c>
      <c r="H110" s="27" t="s">
        <v>66</v>
      </c>
    </row>
    <row r="111" ht="15.75" customHeight="1">
      <c r="A111" s="28">
        <v>110.0</v>
      </c>
      <c r="B111" s="29">
        <v>45741.0</v>
      </c>
      <c r="C111" s="28" t="s">
        <v>67</v>
      </c>
      <c r="D111" s="35">
        <v>-1735.89</v>
      </c>
      <c r="E111" s="31">
        <v>11716.27</v>
      </c>
      <c r="F111" s="32">
        <v>-0.1482</v>
      </c>
      <c r="G111" s="28">
        <v>6.0</v>
      </c>
      <c r="H111" s="33" t="s">
        <v>66</v>
      </c>
    </row>
    <row r="112" ht="15.75" customHeight="1">
      <c r="A112" s="22">
        <v>111.0</v>
      </c>
      <c r="B112" s="23">
        <v>45744.0</v>
      </c>
      <c r="C112" s="22" t="s">
        <v>67</v>
      </c>
      <c r="D112" s="24">
        <v>2190.93</v>
      </c>
      <c r="E112" s="25">
        <v>8357.13</v>
      </c>
      <c r="F112" s="26">
        <v>0.2622</v>
      </c>
      <c r="G112" s="22">
        <v>6.0</v>
      </c>
      <c r="H112" s="27" t="s">
        <v>66</v>
      </c>
    </row>
    <row r="113" ht="15.75" customHeight="1">
      <c r="A113" s="28">
        <v>112.0</v>
      </c>
      <c r="B113" s="29">
        <v>45747.0</v>
      </c>
      <c r="C113" s="28" t="s">
        <v>67</v>
      </c>
      <c r="D113" s="30">
        <v>148.42</v>
      </c>
      <c r="E113" s="31">
        <v>6172.33</v>
      </c>
      <c r="F113" s="32">
        <v>0.024</v>
      </c>
      <c r="G113" s="28">
        <v>6.0</v>
      </c>
      <c r="H113" s="33" t="s">
        <v>66</v>
      </c>
    </row>
    <row r="114" ht="15.75" customHeight="1">
      <c r="A114" s="22">
        <v>113.0</v>
      </c>
      <c r="B114" s="23">
        <v>45748.0</v>
      </c>
      <c r="C114" s="22" t="s">
        <v>68</v>
      </c>
      <c r="D114" s="24">
        <v>126.43</v>
      </c>
      <c r="E114" s="25">
        <v>7820.75</v>
      </c>
      <c r="F114" s="26">
        <v>0.0162</v>
      </c>
      <c r="G114" s="22">
        <v>6.0</v>
      </c>
      <c r="H114" s="27" t="s">
        <v>66</v>
      </c>
    </row>
    <row r="115" ht="15.75" customHeight="1">
      <c r="A115" s="28">
        <v>114.0</v>
      </c>
      <c r="B115" s="29">
        <v>45749.0</v>
      </c>
      <c r="C115" s="28" t="s">
        <v>68</v>
      </c>
      <c r="D115" s="30">
        <v>145.64</v>
      </c>
      <c r="E115" s="31">
        <v>7747.18</v>
      </c>
      <c r="F115" s="32">
        <v>0.0188</v>
      </c>
      <c r="G115" s="28">
        <v>7.0</v>
      </c>
      <c r="H115" s="33" t="s">
        <v>69</v>
      </c>
    </row>
    <row r="116" ht="15.75" customHeight="1">
      <c r="A116" s="22">
        <v>115.0</v>
      </c>
      <c r="B116" s="23">
        <v>45750.0</v>
      </c>
      <c r="C116" s="22" t="s">
        <v>68</v>
      </c>
      <c r="D116" s="24">
        <v>30.36</v>
      </c>
      <c r="E116" s="25">
        <v>7392.82</v>
      </c>
      <c r="F116" s="26">
        <v>0.0041</v>
      </c>
      <c r="G116" s="22">
        <v>6.0</v>
      </c>
      <c r="H116" s="27" t="s">
        <v>70</v>
      </c>
    </row>
    <row r="117" ht="15.75" customHeight="1">
      <c r="A117" s="28">
        <v>116.0</v>
      </c>
      <c r="B117" s="29">
        <v>45751.0</v>
      </c>
      <c r="C117" s="28" t="s">
        <v>68</v>
      </c>
      <c r="D117" s="30">
        <v>274.43</v>
      </c>
      <c r="E117" s="31">
        <v>7423.18</v>
      </c>
      <c r="F117" s="32">
        <v>0.037</v>
      </c>
      <c r="G117" s="28">
        <v>6.0</v>
      </c>
      <c r="H117" s="33" t="s">
        <v>70</v>
      </c>
    </row>
    <row r="118" ht="15.75" customHeight="1">
      <c r="A118" s="22">
        <v>117.0</v>
      </c>
      <c r="B118" s="23">
        <v>45752.0</v>
      </c>
      <c r="C118" s="22" t="s">
        <v>68</v>
      </c>
      <c r="D118" s="24">
        <v>68.5</v>
      </c>
      <c r="E118" s="25">
        <v>7697.61</v>
      </c>
      <c r="F118" s="26">
        <v>0.0089</v>
      </c>
      <c r="G118" s="22">
        <v>6.0</v>
      </c>
      <c r="H118" s="27" t="s">
        <v>70</v>
      </c>
    </row>
    <row r="119" ht="15.75" customHeight="1">
      <c r="A119" s="28">
        <v>118.0</v>
      </c>
      <c r="B119" s="29">
        <v>45753.0</v>
      </c>
      <c r="C119" s="28" t="s">
        <v>68</v>
      </c>
      <c r="D119" s="30">
        <v>266.65</v>
      </c>
      <c r="E119" s="31">
        <v>8766.11</v>
      </c>
      <c r="F119" s="32">
        <v>0.0304</v>
      </c>
      <c r="G119" s="28">
        <v>6.0</v>
      </c>
      <c r="H119" s="33" t="s">
        <v>70</v>
      </c>
    </row>
    <row r="120" ht="15.75" customHeight="1">
      <c r="A120" s="22">
        <v>119.0</v>
      </c>
      <c r="B120" s="23">
        <v>45754.0</v>
      </c>
      <c r="C120" s="22" t="s">
        <v>68</v>
      </c>
      <c r="D120" s="36">
        <v>0.0</v>
      </c>
      <c r="E120" s="25">
        <v>9032.76</v>
      </c>
      <c r="F120" s="26">
        <v>0.0</v>
      </c>
      <c r="G120" s="22">
        <v>6.0</v>
      </c>
      <c r="H120" s="27" t="s">
        <v>70</v>
      </c>
    </row>
    <row r="121" ht="15.75" customHeight="1">
      <c r="A121" s="28">
        <v>120.0</v>
      </c>
      <c r="B121" s="29">
        <v>45755.0</v>
      </c>
      <c r="C121" s="28" t="s">
        <v>68</v>
      </c>
      <c r="D121" s="30">
        <v>227.7</v>
      </c>
      <c r="E121" s="31">
        <v>5718.91</v>
      </c>
      <c r="F121" s="32">
        <v>0.0398</v>
      </c>
      <c r="G121" s="28">
        <v>6.0</v>
      </c>
      <c r="H121" s="33" t="s">
        <v>70</v>
      </c>
    </row>
    <row r="122" ht="15.75" customHeight="1">
      <c r="A122" s="22">
        <v>121.0</v>
      </c>
      <c r="B122" s="23">
        <v>45757.0</v>
      </c>
      <c r="C122" s="22" t="s">
        <v>68</v>
      </c>
      <c r="D122" s="24">
        <v>24.61</v>
      </c>
      <c r="E122" s="25">
        <v>6446.61</v>
      </c>
      <c r="F122" s="26">
        <v>0.0038</v>
      </c>
      <c r="G122" s="22">
        <v>7.0</v>
      </c>
      <c r="H122" s="27" t="s">
        <v>71</v>
      </c>
    </row>
    <row r="123" ht="15.75" customHeight="1">
      <c r="A123" s="28">
        <v>122.0</v>
      </c>
      <c r="B123" s="29">
        <v>45758.0</v>
      </c>
      <c r="C123" s="28" t="s">
        <v>68</v>
      </c>
      <c r="D123" s="35">
        <v>-159.44</v>
      </c>
      <c r="E123" s="31">
        <v>8349.12</v>
      </c>
      <c r="F123" s="32">
        <v>-0.0191</v>
      </c>
      <c r="G123" s="28">
        <v>7.0</v>
      </c>
      <c r="H123" s="33" t="s">
        <v>71</v>
      </c>
    </row>
    <row r="124" ht="15.75" customHeight="1">
      <c r="A124" s="22">
        <v>123.0</v>
      </c>
      <c r="B124" s="23">
        <v>45760.0</v>
      </c>
      <c r="C124" s="22" t="s">
        <v>68</v>
      </c>
      <c r="D124" s="24">
        <v>1122.87</v>
      </c>
      <c r="E124" s="25">
        <v>8056.38</v>
      </c>
      <c r="F124" s="26">
        <v>0.1394</v>
      </c>
      <c r="G124" s="22">
        <v>5.0</v>
      </c>
      <c r="H124" s="27" t="s">
        <v>72</v>
      </c>
    </row>
    <row r="125" ht="15.75" customHeight="1">
      <c r="A125" s="28">
        <v>124.0</v>
      </c>
      <c r="B125" s="29">
        <v>45761.0</v>
      </c>
      <c r="C125" s="28" t="s">
        <v>68</v>
      </c>
      <c r="D125" s="35">
        <v>-32.0</v>
      </c>
      <c r="E125" s="31">
        <v>6979.25</v>
      </c>
      <c r="F125" s="32">
        <v>-0.0046</v>
      </c>
      <c r="G125" s="28">
        <v>5.0</v>
      </c>
      <c r="H125" s="33" t="s">
        <v>72</v>
      </c>
    </row>
    <row r="126" ht="15.75" customHeight="1">
      <c r="A126" s="22">
        <v>125.0</v>
      </c>
      <c r="B126" s="23">
        <v>45762.0</v>
      </c>
      <c r="C126" s="22" t="s">
        <v>68</v>
      </c>
      <c r="D126" s="24">
        <v>452.02</v>
      </c>
      <c r="E126" s="25">
        <v>5944.6</v>
      </c>
      <c r="F126" s="26">
        <v>0.076</v>
      </c>
      <c r="G126" s="22">
        <v>5.0</v>
      </c>
      <c r="H126" s="27" t="s">
        <v>72</v>
      </c>
    </row>
    <row r="127" ht="15.75" customHeight="1">
      <c r="A127" s="28">
        <v>126.0</v>
      </c>
      <c r="B127" s="29">
        <v>45763.0</v>
      </c>
      <c r="C127" s="28" t="s">
        <v>68</v>
      </c>
      <c r="D127" s="30">
        <v>117.47</v>
      </c>
      <c r="E127" s="31">
        <v>5196.62</v>
      </c>
      <c r="F127" s="32">
        <v>0.0226</v>
      </c>
      <c r="G127" s="28">
        <v>5.0</v>
      </c>
      <c r="H127" s="33" t="s">
        <v>72</v>
      </c>
    </row>
    <row r="128" ht="15.75" customHeight="1">
      <c r="A128" s="22">
        <v>127.0</v>
      </c>
      <c r="B128" s="23">
        <v>45766.0</v>
      </c>
      <c r="C128" s="22" t="s">
        <v>68</v>
      </c>
      <c r="D128" s="24">
        <v>904.74</v>
      </c>
      <c r="E128" s="25">
        <v>7314.09</v>
      </c>
      <c r="F128" s="26">
        <v>0.1237</v>
      </c>
      <c r="G128" s="22">
        <v>5.0</v>
      </c>
      <c r="H128" s="27" t="s">
        <v>72</v>
      </c>
    </row>
    <row r="129" ht="15.75" customHeight="1">
      <c r="A129" s="28">
        <v>128.0</v>
      </c>
      <c r="B129" s="29">
        <v>45768.0</v>
      </c>
      <c r="C129" s="28" t="s">
        <v>68</v>
      </c>
      <c r="D129" s="37">
        <v>0.0</v>
      </c>
      <c r="E129" s="31">
        <v>3718.83</v>
      </c>
      <c r="F129" s="32">
        <v>0.0</v>
      </c>
      <c r="G129" s="28">
        <v>5.0</v>
      </c>
      <c r="H129" s="33" t="s">
        <v>72</v>
      </c>
    </row>
    <row r="130" ht="15.75" customHeight="1">
      <c r="A130" s="22">
        <v>129.0</v>
      </c>
      <c r="B130" s="23">
        <v>45771.0</v>
      </c>
      <c r="C130" s="22" t="s">
        <v>68</v>
      </c>
      <c r="D130" s="24">
        <v>134.83</v>
      </c>
      <c r="E130" s="25">
        <v>4613.85</v>
      </c>
      <c r="F130" s="26">
        <v>0.0292</v>
      </c>
      <c r="G130" s="22">
        <v>5.0</v>
      </c>
      <c r="H130" s="27" t="s">
        <v>72</v>
      </c>
    </row>
    <row r="131" ht="15.75" customHeight="1">
      <c r="A131" s="28">
        <v>130.0</v>
      </c>
      <c r="B131" s="29">
        <v>45772.0</v>
      </c>
      <c r="C131" s="28" t="s">
        <v>68</v>
      </c>
      <c r="D131" s="30">
        <v>142.18</v>
      </c>
      <c r="E131" s="31">
        <v>5770.68</v>
      </c>
      <c r="F131" s="32">
        <v>0.0246</v>
      </c>
      <c r="G131" s="28">
        <v>5.0</v>
      </c>
      <c r="H131" s="33" t="s">
        <v>73</v>
      </c>
    </row>
    <row r="132" ht="15.75" customHeight="1">
      <c r="A132" s="22">
        <v>131.0</v>
      </c>
      <c r="B132" s="23">
        <v>45776.0</v>
      </c>
      <c r="C132" s="22" t="s">
        <v>68</v>
      </c>
      <c r="D132" s="24">
        <v>417.99</v>
      </c>
      <c r="E132" s="25">
        <v>9412.86</v>
      </c>
      <c r="F132" s="26">
        <v>0.0444</v>
      </c>
      <c r="G132" s="22">
        <v>6.0</v>
      </c>
      <c r="H132" s="27" t="s">
        <v>74</v>
      </c>
    </row>
    <row r="133" ht="15.75" customHeight="1">
      <c r="A133" s="28">
        <v>132.0</v>
      </c>
      <c r="B133" s="29">
        <v>45777.0</v>
      </c>
      <c r="C133" s="28" t="s">
        <v>68</v>
      </c>
      <c r="D133" s="30">
        <v>282.97</v>
      </c>
      <c r="E133" s="31">
        <v>10630.85</v>
      </c>
      <c r="F133" s="32">
        <v>0.0266</v>
      </c>
      <c r="G133" s="28">
        <v>6.0</v>
      </c>
      <c r="H133" s="33" t="s">
        <v>74</v>
      </c>
    </row>
    <row r="134" ht="15.75" customHeight="1">
      <c r="A134" s="22">
        <v>133.0</v>
      </c>
      <c r="B134" s="23">
        <v>45779.0</v>
      </c>
      <c r="C134" s="22" t="s">
        <v>75</v>
      </c>
      <c r="D134" s="24">
        <v>97.3</v>
      </c>
      <c r="E134" s="25">
        <v>7843.53</v>
      </c>
      <c r="F134" s="26">
        <v>0.0124</v>
      </c>
      <c r="G134" s="22">
        <v>6.0</v>
      </c>
      <c r="H134" s="27" t="s">
        <v>76</v>
      </c>
    </row>
    <row r="135" ht="15.75" customHeight="1">
      <c r="A135" s="28">
        <v>134.0</v>
      </c>
      <c r="B135" s="29">
        <v>45781.0</v>
      </c>
      <c r="C135" s="28" t="s">
        <v>75</v>
      </c>
      <c r="D135" s="30">
        <v>91.9</v>
      </c>
      <c r="E135" s="31">
        <v>5940.83</v>
      </c>
      <c r="F135" s="32">
        <v>0.0155</v>
      </c>
      <c r="G135" s="28">
        <v>6.0</v>
      </c>
      <c r="H135" s="33" t="s">
        <v>76</v>
      </c>
    </row>
    <row r="136" ht="15.75" customHeight="1">
      <c r="A136" s="22">
        <v>135.0</v>
      </c>
      <c r="B136" s="23">
        <v>45784.0</v>
      </c>
      <c r="C136" s="22" t="s">
        <v>75</v>
      </c>
      <c r="D136" s="24">
        <v>281.59</v>
      </c>
      <c r="E136" s="25">
        <v>5017.73</v>
      </c>
      <c r="F136" s="26">
        <v>0.0561</v>
      </c>
      <c r="G136" s="22">
        <v>6.0</v>
      </c>
      <c r="H136" s="27" t="s">
        <v>76</v>
      </c>
    </row>
    <row r="137" ht="15.75" customHeight="1">
      <c r="A137" s="28">
        <v>136.0</v>
      </c>
      <c r="B137" s="29">
        <v>45785.0</v>
      </c>
      <c r="C137" s="28" t="s">
        <v>75</v>
      </c>
      <c r="D137" s="30">
        <v>580.82</v>
      </c>
      <c r="E137" s="31">
        <v>7967.16</v>
      </c>
      <c r="F137" s="32">
        <v>0.0729</v>
      </c>
      <c r="G137" s="28">
        <v>6.0</v>
      </c>
      <c r="H137" s="33" t="s">
        <v>77</v>
      </c>
    </row>
    <row r="138" ht="15.75" customHeight="1">
      <c r="A138" s="22">
        <v>137.0</v>
      </c>
      <c r="B138" s="23">
        <v>45786.0</v>
      </c>
      <c r="C138" s="22" t="s">
        <v>75</v>
      </c>
      <c r="D138" s="24">
        <v>681.44</v>
      </c>
      <c r="E138" s="25">
        <v>8403.15</v>
      </c>
      <c r="F138" s="26">
        <v>0.0811</v>
      </c>
      <c r="G138" s="22">
        <v>6.0</v>
      </c>
      <c r="H138" s="27" t="s">
        <v>77</v>
      </c>
    </row>
    <row r="139" ht="15.75" customHeight="1">
      <c r="A139" s="28">
        <v>138.0</v>
      </c>
      <c r="B139" s="29">
        <v>45787.0</v>
      </c>
      <c r="C139" s="28" t="s">
        <v>75</v>
      </c>
      <c r="D139" s="30">
        <v>1654.63</v>
      </c>
      <c r="E139" s="31">
        <v>7265.6</v>
      </c>
      <c r="F139" s="32">
        <v>0.2277</v>
      </c>
      <c r="G139" s="28">
        <v>6.0</v>
      </c>
      <c r="H139" s="33" t="s">
        <v>77</v>
      </c>
    </row>
    <row r="140" ht="15.75" customHeight="1">
      <c r="A140" s="22">
        <v>139.0</v>
      </c>
      <c r="B140" s="23">
        <v>45789.0</v>
      </c>
      <c r="C140" s="22" t="s">
        <v>75</v>
      </c>
      <c r="D140" s="34">
        <v>-609.83</v>
      </c>
      <c r="E140" s="25">
        <v>8879.23</v>
      </c>
      <c r="F140" s="26">
        <v>-0.0687</v>
      </c>
      <c r="G140" s="22">
        <v>5.0</v>
      </c>
      <c r="H140" s="27" t="s">
        <v>78</v>
      </c>
    </row>
    <row r="141" ht="15.75" customHeight="1">
      <c r="A141" s="28">
        <v>140.0</v>
      </c>
      <c r="B141" s="29">
        <v>45790.0</v>
      </c>
      <c r="C141" s="28" t="s">
        <v>75</v>
      </c>
      <c r="D141" s="30">
        <v>645.39</v>
      </c>
      <c r="E141" s="31">
        <v>11209.4</v>
      </c>
      <c r="F141" s="32">
        <v>0.0576</v>
      </c>
      <c r="G141" s="28">
        <v>7.0</v>
      </c>
      <c r="H141" s="33" t="s">
        <v>79</v>
      </c>
    </row>
    <row r="142" ht="15.75" customHeight="1">
      <c r="A142" s="22">
        <v>141.0</v>
      </c>
      <c r="B142" s="23">
        <v>45791.0</v>
      </c>
      <c r="C142" s="22" t="s">
        <v>75</v>
      </c>
      <c r="D142" s="24">
        <v>390.41</v>
      </c>
      <c r="E142" s="25">
        <v>12169.66</v>
      </c>
      <c r="F142" s="26">
        <v>0.0321</v>
      </c>
      <c r="G142" s="22">
        <v>6.0</v>
      </c>
      <c r="H142" s="27" t="s">
        <v>80</v>
      </c>
    </row>
    <row r="143" ht="15.75" customHeight="1">
      <c r="A143" s="28">
        <v>142.0</v>
      </c>
      <c r="B143" s="29">
        <v>45792.0</v>
      </c>
      <c r="C143" s="28" t="s">
        <v>75</v>
      </c>
      <c r="D143" s="30">
        <v>445.53</v>
      </c>
      <c r="E143" s="31">
        <v>10871.21</v>
      </c>
      <c r="F143" s="32">
        <v>0.041</v>
      </c>
      <c r="G143" s="28">
        <v>7.0</v>
      </c>
      <c r="H143" s="33" t="s">
        <v>79</v>
      </c>
    </row>
    <row r="144" ht="15.75" customHeight="1">
      <c r="A144" s="22">
        <v>143.0</v>
      </c>
      <c r="B144" s="23">
        <v>45795.0</v>
      </c>
      <c r="C144" s="22" t="s">
        <v>75</v>
      </c>
      <c r="D144" s="24">
        <v>105.66</v>
      </c>
      <c r="E144" s="25">
        <v>12104.75</v>
      </c>
      <c r="F144" s="26">
        <v>0.0087</v>
      </c>
      <c r="G144" s="22">
        <v>6.0</v>
      </c>
      <c r="H144" s="27" t="s">
        <v>76</v>
      </c>
    </row>
    <row r="145" ht="15.75" customHeight="1">
      <c r="A145" s="28">
        <v>144.0</v>
      </c>
      <c r="B145" s="29">
        <v>45796.0</v>
      </c>
      <c r="C145" s="28" t="s">
        <v>75</v>
      </c>
      <c r="D145" s="30">
        <v>500.15</v>
      </c>
      <c r="E145" s="31">
        <v>13236.77</v>
      </c>
      <c r="F145" s="32">
        <v>0.0378</v>
      </c>
      <c r="G145" s="28">
        <v>6.0</v>
      </c>
      <c r="H145" s="33" t="s">
        <v>76</v>
      </c>
    </row>
    <row r="146" ht="15.75" customHeight="1">
      <c r="A146" s="22">
        <v>145.0</v>
      </c>
      <c r="B146" s="23">
        <v>45797.0</v>
      </c>
      <c r="C146" s="22" t="s">
        <v>75</v>
      </c>
      <c r="D146" s="24">
        <v>309.9</v>
      </c>
      <c r="E146" s="25">
        <v>14018.73</v>
      </c>
      <c r="F146" s="26">
        <v>0.0221</v>
      </c>
      <c r="G146" s="22">
        <v>6.0</v>
      </c>
      <c r="H146" s="27" t="s">
        <v>76</v>
      </c>
    </row>
    <row r="147" ht="15.75" customHeight="1">
      <c r="A147" s="28">
        <v>146.0</v>
      </c>
      <c r="B147" s="29">
        <v>45798.0</v>
      </c>
      <c r="C147" s="28" t="s">
        <v>75</v>
      </c>
      <c r="D147" s="30">
        <v>478.86</v>
      </c>
      <c r="E147" s="31">
        <v>13828.63</v>
      </c>
      <c r="F147" s="32">
        <v>0.0346</v>
      </c>
      <c r="G147" s="28">
        <v>6.0</v>
      </c>
      <c r="H147" s="33" t="s">
        <v>76</v>
      </c>
    </row>
    <row r="148" ht="15.75" customHeight="1">
      <c r="A148" s="22">
        <v>147.0</v>
      </c>
      <c r="B148" s="23">
        <v>45799.0</v>
      </c>
      <c r="C148" s="22" t="s">
        <v>75</v>
      </c>
      <c r="D148" s="24">
        <v>222.15</v>
      </c>
      <c r="E148" s="25">
        <v>11704.0</v>
      </c>
      <c r="F148" s="26">
        <v>0.019</v>
      </c>
      <c r="G148" s="22">
        <v>6.0</v>
      </c>
      <c r="H148" s="27" t="s">
        <v>76</v>
      </c>
    </row>
    <row r="149" ht="15.75" customHeight="1">
      <c r="A149" s="28">
        <v>148.0</v>
      </c>
      <c r="B149" s="29">
        <v>45800.0</v>
      </c>
      <c r="C149" s="28" t="s">
        <v>75</v>
      </c>
      <c r="D149" s="30">
        <v>637.36</v>
      </c>
      <c r="E149" s="31">
        <v>17516.15</v>
      </c>
      <c r="F149" s="32">
        <v>0.0364</v>
      </c>
      <c r="G149" s="28">
        <v>5.0</v>
      </c>
      <c r="H149" s="33" t="s">
        <v>81</v>
      </c>
    </row>
    <row r="150" ht="15.75" customHeight="1">
      <c r="A150" s="22">
        <v>149.0</v>
      </c>
      <c r="B150" s="23">
        <v>45801.0</v>
      </c>
      <c r="C150" s="22" t="s">
        <v>75</v>
      </c>
      <c r="D150" s="24">
        <v>217.5</v>
      </c>
      <c r="E150" s="25">
        <v>17743.51</v>
      </c>
      <c r="F150" s="26">
        <v>0.0123</v>
      </c>
      <c r="G150" s="22">
        <v>5.0</v>
      </c>
      <c r="H150" s="27" t="s">
        <v>81</v>
      </c>
    </row>
    <row r="151" ht="15.75" customHeight="1">
      <c r="A151" s="28">
        <v>150.0</v>
      </c>
      <c r="B151" s="29">
        <v>45802.0</v>
      </c>
      <c r="C151" s="28" t="s">
        <v>75</v>
      </c>
      <c r="D151" s="30">
        <v>538.43</v>
      </c>
      <c r="E151" s="31">
        <v>13745.91</v>
      </c>
      <c r="F151" s="32">
        <v>0.0392</v>
      </c>
      <c r="G151" s="28">
        <v>5.0</v>
      </c>
      <c r="H151" s="33" t="s">
        <v>81</v>
      </c>
    </row>
    <row r="152" ht="15.75" customHeight="1">
      <c r="A152" s="22">
        <v>151.0</v>
      </c>
      <c r="B152" s="23">
        <v>45803.0</v>
      </c>
      <c r="C152" s="22" t="s">
        <v>75</v>
      </c>
      <c r="D152" s="34">
        <v>-2204.65</v>
      </c>
      <c r="E152" s="25">
        <v>14447.41</v>
      </c>
      <c r="F152" s="26">
        <v>-0.1526</v>
      </c>
      <c r="G152" s="22">
        <v>6.0</v>
      </c>
      <c r="H152" s="27" t="s">
        <v>77</v>
      </c>
    </row>
    <row r="153" ht="15.75" customHeight="1">
      <c r="A153" s="28">
        <v>152.0</v>
      </c>
      <c r="B153" s="29">
        <v>45804.0</v>
      </c>
      <c r="C153" s="28" t="s">
        <v>75</v>
      </c>
      <c r="D153" s="35">
        <v>-161.91</v>
      </c>
      <c r="E153" s="31">
        <v>13026.99</v>
      </c>
      <c r="F153" s="32">
        <v>-0.0124</v>
      </c>
      <c r="G153" s="28">
        <v>6.0</v>
      </c>
      <c r="H153" s="33" t="s">
        <v>77</v>
      </c>
    </row>
    <row r="154" ht="15.75" customHeight="1">
      <c r="A154" s="22">
        <v>153.0</v>
      </c>
      <c r="B154" s="23">
        <v>45805.0</v>
      </c>
      <c r="C154" s="22" t="s">
        <v>75</v>
      </c>
      <c r="D154" s="24">
        <v>581.92</v>
      </c>
      <c r="E154" s="25">
        <v>14862.08</v>
      </c>
      <c r="F154" s="26">
        <v>0.0392</v>
      </c>
      <c r="G154" s="22">
        <v>5.0</v>
      </c>
      <c r="H154" s="27" t="s">
        <v>81</v>
      </c>
    </row>
    <row r="155" ht="15.75" customHeight="1">
      <c r="A155" s="28">
        <v>154.0</v>
      </c>
      <c r="B155" s="29">
        <v>45806.0</v>
      </c>
      <c r="C155" s="28" t="s">
        <v>75</v>
      </c>
      <c r="D155" s="30">
        <v>508.0</v>
      </c>
      <c r="E155" s="31">
        <v>15444.0</v>
      </c>
      <c r="F155" s="32">
        <v>0.0329</v>
      </c>
      <c r="G155" s="28">
        <v>5.0</v>
      </c>
      <c r="H155" s="33" t="s">
        <v>81</v>
      </c>
    </row>
    <row r="156" ht="15.75" customHeight="1">
      <c r="A156" s="22">
        <v>155.0</v>
      </c>
      <c r="B156" s="23">
        <v>45806.0</v>
      </c>
      <c r="C156" s="22" t="s">
        <v>75</v>
      </c>
      <c r="D156" s="24">
        <v>131.8</v>
      </c>
      <c r="E156" s="25">
        <v>15952.0</v>
      </c>
      <c r="F156" s="26">
        <v>0.0083</v>
      </c>
      <c r="G156" s="22">
        <v>5.0</v>
      </c>
      <c r="H156" s="27" t="s">
        <v>81</v>
      </c>
    </row>
    <row r="157" ht="15.75" customHeight="1">
      <c r="A157" s="28">
        <v>156.0</v>
      </c>
      <c r="B157" s="29">
        <v>45807.0</v>
      </c>
      <c r="C157" s="28" t="s">
        <v>75</v>
      </c>
      <c r="D157" s="35">
        <v>-71.2</v>
      </c>
      <c r="E157" s="31">
        <v>17952.0</v>
      </c>
      <c r="F157" s="32">
        <v>-0.004</v>
      </c>
      <c r="G157" s="28">
        <v>5.0</v>
      </c>
      <c r="H157" s="33" t="s">
        <v>81</v>
      </c>
    </row>
    <row r="158" ht="15.75" customHeight="1">
      <c r="A158" s="22">
        <v>157.0</v>
      </c>
      <c r="B158" s="23">
        <v>45808.0</v>
      </c>
      <c r="C158" s="22" t="s">
        <v>75</v>
      </c>
      <c r="D158" s="24">
        <v>629.37</v>
      </c>
      <c r="E158" s="25">
        <v>22296.0</v>
      </c>
      <c r="F158" s="26">
        <v>0.0282</v>
      </c>
      <c r="G158" s="22">
        <v>6.0</v>
      </c>
      <c r="H158" s="27" t="s">
        <v>82</v>
      </c>
    </row>
    <row r="159" ht="15.75" customHeight="1">
      <c r="A159" s="28">
        <v>158.0</v>
      </c>
      <c r="B159" s="29">
        <v>45810.0</v>
      </c>
      <c r="C159" s="28" t="s">
        <v>83</v>
      </c>
      <c r="D159" s="30">
        <v>1320.0</v>
      </c>
      <c r="E159" s="31">
        <v>15699.0</v>
      </c>
      <c r="F159" s="32">
        <v>0.0841</v>
      </c>
      <c r="G159" s="28">
        <v>5.0</v>
      </c>
      <c r="H159" s="33" t="s">
        <v>84</v>
      </c>
    </row>
    <row r="160" ht="15.75" customHeight="1">
      <c r="A160" s="22">
        <v>159.0</v>
      </c>
      <c r="B160" s="23">
        <v>45811.0</v>
      </c>
      <c r="C160" s="22" t="s">
        <v>83</v>
      </c>
      <c r="D160" s="24">
        <v>1176.0</v>
      </c>
      <c r="E160" s="25">
        <v>19769.0</v>
      </c>
      <c r="F160" s="26">
        <v>0.0595</v>
      </c>
      <c r="G160" s="22">
        <v>5.0</v>
      </c>
      <c r="H160" s="27" t="s">
        <v>84</v>
      </c>
    </row>
    <row r="161" ht="15.75" customHeight="1">
      <c r="A161" s="28">
        <v>160.0</v>
      </c>
      <c r="B161" s="29">
        <v>45812.0</v>
      </c>
      <c r="C161" s="28" t="s">
        <v>83</v>
      </c>
      <c r="D161" s="30">
        <v>953.0</v>
      </c>
      <c r="E161" s="31">
        <v>22345.0</v>
      </c>
      <c r="F161" s="32">
        <v>0.0426</v>
      </c>
      <c r="G161" s="28">
        <v>5.0</v>
      </c>
      <c r="H161" s="33" t="s">
        <v>84</v>
      </c>
    </row>
    <row r="162" ht="15.75" customHeight="1">
      <c r="A162" s="22">
        <v>161.0</v>
      </c>
      <c r="B162" s="23">
        <v>45813.0</v>
      </c>
      <c r="C162" s="22" t="s">
        <v>83</v>
      </c>
      <c r="D162" s="24">
        <v>262.0</v>
      </c>
      <c r="E162" s="25">
        <v>22073.0</v>
      </c>
      <c r="F162" s="26">
        <v>0.0119</v>
      </c>
      <c r="G162" s="22">
        <v>5.0</v>
      </c>
      <c r="H162" s="27" t="s">
        <v>84</v>
      </c>
    </row>
    <row r="163" ht="15.75" customHeight="1">
      <c r="A163" s="28">
        <v>162.0</v>
      </c>
      <c r="B163" s="29">
        <v>45815.0</v>
      </c>
      <c r="C163" s="28" t="s">
        <v>83</v>
      </c>
      <c r="D163" s="30">
        <v>560.0</v>
      </c>
      <c r="E163" s="31">
        <v>20748.0</v>
      </c>
      <c r="F163" s="32">
        <v>0.027</v>
      </c>
      <c r="G163" s="28">
        <v>5.0</v>
      </c>
      <c r="H163" s="33" t="s">
        <v>84</v>
      </c>
    </row>
    <row r="164" ht="15.75" customHeight="1">
      <c r="A164" s="22">
        <v>163.0</v>
      </c>
      <c r="B164" s="23">
        <v>45817.0</v>
      </c>
      <c r="C164" s="22" t="s">
        <v>83</v>
      </c>
      <c r="D164" s="24">
        <v>885.0</v>
      </c>
      <c r="E164" s="25">
        <v>20535.0</v>
      </c>
      <c r="F164" s="26">
        <v>0.0431</v>
      </c>
      <c r="G164" s="22">
        <v>5.0</v>
      </c>
      <c r="H164" s="27" t="s">
        <v>84</v>
      </c>
    </row>
    <row r="165" ht="15.75" customHeight="1">
      <c r="A165" s="28">
        <v>164.0</v>
      </c>
      <c r="B165" s="29">
        <v>45818.0</v>
      </c>
      <c r="C165" s="28" t="s">
        <v>83</v>
      </c>
      <c r="D165" s="30">
        <v>374.0</v>
      </c>
      <c r="E165" s="31">
        <v>22583.0</v>
      </c>
      <c r="F165" s="32">
        <v>0.0166</v>
      </c>
      <c r="G165" s="28">
        <v>6.0</v>
      </c>
      <c r="H165" s="33" t="s">
        <v>85</v>
      </c>
    </row>
    <row r="166" ht="15.75" customHeight="1">
      <c r="A166" s="22">
        <v>165.0</v>
      </c>
      <c r="B166" s="23">
        <v>45820.0</v>
      </c>
      <c r="C166" s="22" t="s">
        <v>83</v>
      </c>
      <c r="D166" s="24">
        <v>472.0</v>
      </c>
      <c r="E166" s="25">
        <v>20661.0</v>
      </c>
      <c r="F166" s="26">
        <v>0.0228</v>
      </c>
      <c r="G166" s="22">
        <v>4.0</v>
      </c>
      <c r="H166" s="27" t="s">
        <v>86</v>
      </c>
    </row>
    <row r="167" ht="15.75" customHeight="1">
      <c r="A167" s="28">
        <v>166.0</v>
      </c>
      <c r="B167" s="29">
        <v>45821.0</v>
      </c>
      <c r="C167" s="28" t="s">
        <v>83</v>
      </c>
      <c r="D167" s="30">
        <v>312.0</v>
      </c>
      <c r="E167" s="31">
        <v>16339.0</v>
      </c>
      <c r="F167" s="32">
        <v>0.0191</v>
      </c>
      <c r="G167" s="28">
        <v>4.0</v>
      </c>
      <c r="H167" s="33" t="s">
        <v>86</v>
      </c>
    </row>
    <row r="168" ht="15.75" customHeight="1">
      <c r="A168" s="22">
        <v>167.0</v>
      </c>
      <c r="B168" s="23">
        <v>45822.0</v>
      </c>
      <c r="C168" s="22" t="s">
        <v>83</v>
      </c>
      <c r="D168" s="24">
        <v>416.0</v>
      </c>
      <c r="E168" s="25">
        <v>21851.0</v>
      </c>
      <c r="F168" s="26">
        <v>0.019</v>
      </c>
      <c r="G168" s="22">
        <v>3.0</v>
      </c>
      <c r="H168" s="27" t="s">
        <v>87</v>
      </c>
    </row>
    <row r="169" ht="15.75" customHeight="1">
      <c r="A169" s="28">
        <v>168.0</v>
      </c>
      <c r="B169" s="29">
        <v>45823.0</v>
      </c>
      <c r="C169" s="28" t="s">
        <v>83</v>
      </c>
      <c r="D169" s="30">
        <v>92.0</v>
      </c>
      <c r="E169" s="31">
        <v>18017.0</v>
      </c>
      <c r="F169" s="32">
        <v>0.0051</v>
      </c>
      <c r="G169" s="28">
        <v>4.0</v>
      </c>
      <c r="H169" s="33" t="s">
        <v>86</v>
      </c>
    </row>
    <row r="170" ht="15.75" customHeight="1">
      <c r="A170" s="22">
        <v>169.0</v>
      </c>
      <c r="B170" s="23">
        <v>45824.0</v>
      </c>
      <c r="C170" s="22" t="s">
        <v>83</v>
      </c>
      <c r="D170" s="24">
        <v>604.0</v>
      </c>
      <c r="E170" s="25">
        <v>14492.0</v>
      </c>
      <c r="F170" s="26">
        <v>0.0417</v>
      </c>
      <c r="G170" s="22">
        <v>5.0</v>
      </c>
      <c r="H170" s="27" t="s">
        <v>88</v>
      </c>
    </row>
    <row r="171" ht="15.75" customHeight="1">
      <c r="A171" s="28">
        <v>170.0</v>
      </c>
      <c r="B171" s="29">
        <v>45825.0</v>
      </c>
      <c r="C171" s="28" t="s">
        <v>83</v>
      </c>
      <c r="D171" s="30">
        <v>213.0</v>
      </c>
      <c r="E171" s="31">
        <v>18873.0</v>
      </c>
      <c r="F171" s="32">
        <v>0.0113</v>
      </c>
      <c r="G171" s="28">
        <v>5.0</v>
      </c>
      <c r="H171" s="33" t="s">
        <v>88</v>
      </c>
    </row>
    <row r="172" ht="15.75" customHeight="1">
      <c r="A172" s="22">
        <v>171.0</v>
      </c>
      <c r="B172" s="23">
        <v>45826.0</v>
      </c>
      <c r="C172" s="22" t="s">
        <v>83</v>
      </c>
      <c r="D172" s="24">
        <v>78.0</v>
      </c>
      <c r="E172" s="25">
        <v>21619.0</v>
      </c>
      <c r="F172" s="26">
        <v>0.0036</v>
      </c>
      <c r="G172" s="22">
        <v>6.0</v>
      </c>
      <c r="H172" s="27" t="s">
        <v>89</v>
      </c>
    </row>
    <row r="173" ht="15.75" customHeight="1">
      <c r="A173" s="28">
        <v>172.0</v>
      </c>
      <c r="B173" s="29">
        <v>45827.0</v>
      </c>
      <c r="C173" s="28" t="s">
        <v>83</v>
      </c>
      <c r="D173" s="30">
        <v>815.0</v>
      </c>
      <c r="E173" s="31">
        <v>29197.0</v>
      </c>
      <c r="F173" s="32">
        <v>0.0279</v>
      </c>
      <c r="G173" s="28">
        <v>9.0</v>
      </c>
      <c r="H173" s="33" t="s">
        <v>90</v>
      </c>
    </row>
    <row r="174" ht="15.75" customHeight="1">
      <c r="A174" s="22">
        <v>173.0</v>
      </c>
      <c r="B174" s="23">
        <v>45829.0</v>
      </c>
      <c r="C174" s="22" t="s">
        <v>83</v>
      </c>
      <c r="D174" s="24">
        <v>136.0</v>
      </c>
      <c r="E174" s="25">
        <v>34722.0</v>
      </c>
      <c r="F174" s="26">
        <v>0.0039</v>
      </c>
      <c r="G174" s="22">
        <v>9.0</v>
      </c>
      <c r="H174" s="27" t="s">
        <v>90</v>
      </c>
    </row>
    <row r="175" ht="15.75" customHeight="1">
      <c r="A175" s="28">
        <v>174.0</v>
      </c>
      <c r="B175" s="29">
        <v>45830.0</v>
      </c>
      <c r="C175" s="28" t="s">
        <v>83</v>
      </c>
      <c r="D175" s="30">
        <v>299.0</v>
      </c>
      <c r="E175" s="31">
        <v>22229.0</v>
      </c>
      <c r="F175" s="32">
        <v>0.0135</v>
      </c>
      <c r="G175" s="28">
        <v>10.0</v>
      </c>
      <c r="H175" s="33" t="s">
        <v>91</v>
      </c>
    </row>
    <row r="176" ht="15.75" customHeight="1">
      <c r="A176" s="22">
        <v>175.0</v>
      </c>
      <c r="B176" s="23">
        <v>45831.0</v>
      </c>
      <c r="C176" s="22" t="s">
        <v>83</v>
      </c>
      <c r="D176" s="24">
        <v>455.0</v>
      </c>
      <c r="E176" s="25">
        <v>26431.0</v>
      </c>
      <c r="F176" s="26">
        <v>0.0172</v>
      </c>
      <c r="G176" s="22">
        <v>10.0</v>
      </c>
      <c r="H176" s="27" t="s">
        <v>91</v>
      </c>
    </row>
    <row r="177" ht="15.75" customHeight="1">
      <c r="A177" s="28">
        <v>176.0</v>
      </c>
      <c r="B177" s="29">
        <v>45832.0</v>
      </c>
      <c r="C177" s="28" t="s">
        <v>83</v>
      </c>
      <c r="D177" s="30">
        <v>172.0</v>
      </c>
      <c r="E177" s="31">
        <v>22148.0</v>
      </c>
      <c r="F177" s="32">
        <v>0.0078</v>
      </c>
      <c r="G177" s="28">
        <v>10.0</v>
      </c>
      <c r="H177" s="33" t="s">
        <v>91</v>
      </c>
    </row>
    <row r="178" ht="15.75" customHeight="1">
      <c r="A178" s="22">
        <v>177.0</v>
      </c>
      <c r="B178" s="23">
        <v>45833.0</v>
      </c>
      <c r="C178" s="22" t="s">
        <v>83</v>
      </c>
      <c r="D178" s="24">
        <v>456.0</v>
      </c>
      <c r="E178" s="25">
        <v>19200.0</v>
      </c>
      <c r="F178" s="26">
        <v>0.0238</v>
      </c>
      <c r="G178" s="22">
        <v>11.0</v>
      </c>
      <c r="H178" s="27" t="s">
        <v>92</v>
      </c>
    </row>
    <row r="179" ht="15.75" customHeight="1">
      <c r="A179" s="28">
        <v>178.0</v>
      </c>
      <c r="B179" s="29">
        <v>45834.0</v>
      </c>
      <c r="C179" s="28" t="s">
        <v>83</v>
      </c>
      <c r="D179" s="30">
        <v>231.0</v>
      </c>
      <c r="E179" s="31">
        <v>23706.0</v>
      </c>
      <c r="F179" s="32">
        <v>0.0097</v>
      </c>
      <c r="G179" s="28">
        <v>11.0</v>
      </c>
      <c r="H179" s="33" t="s">
        <v>92</v>
      </c>
    </row>
    <row r="180" ht="15.75" customHeight="1">
      <c r="A180" s="22">
        <v>179.0</v>
      </c>
      <c r="B180" s="23">
        <v>45835.0</v>
      </c>
      <c r="C180" s="22" t="s">
        <v>83</v>
      </c>
      <c r="D180" s="24">
        <v>367.0</v>
      </c>
      <c r="E180" s="25">
        <v>22657.0</v>
      </c>
      <c r="F180" s="26">
        <v>0.0162</v>
      </c>
      <c r="G180" s="22">
        <v>11.0</v>
      </c>
      <c r="H180" s="27" t="s">
        <v>92</v>
      </c>
    </row>
    <row r="181" ht="15.75" customHeight="1">
      <c r="A181" s="28">
        <v>180.0</v>
      </c>
      <c r="B181" s="29">
        <v>45836.0</v>
      </c>
      <c r="C181" s="28" t="s">
        <v>83</v>
      </c>
      <c r="D181" s="30">
        <v>223.0</v>
      </c>
      <c r="E181" s="31">
        <v>24453.0</v>
      </c>
      <c r="F181" s="32">
        <v>0.0091</v>
      </c>
      <c r="G181" s="28">
        <v>10.0</v>
      </c>
      <c r="H181" s="33" t="s">
        <v>91</v>
      </c>
    </row>
    <row r="182" ht="15.75" customHeight="1">
      <c r="A182" s="22">
        <v>181.0</v>
      </c>
      <c r="B182" s="23">
        <v>45838.0</v>
      </c>
      <c r="C182" s="22" t="s">
        <v>83</v>
      </c>
      <c r="D182" s="34">
        <v>-77.0</v>
      </c>
      <c r="E182" s="25">
        <v>21326.0</v>
      </c>
      <c r="F182" s="26">
        <v>-0.0036</v>
      </c>
      <c r="G182" s="22">
        <v>10.0</v>
      </c>
      <c r="H182" s="27" t="s">
        <v>91</v>
      </c>
    </row>
    <row r="183" ht="15.75" customHeight="1">
      <c r="A183" s="28">
        <v>182.0</v>
      </c>
      <c r="B183" s="29">
        <v>45839.0</v>
      </c>
      <c r="C183" s="28" t="s">
        <v>93</v>
      </c>
      <c r="D183" s="30">
        <v>372.0</v>
      </c>
      <c r="E183" s="31">
        <v>20586.0</v>
      </c>
      <c r="F183" s="32">
        <v>0.0181</v>
      </c>
      <c r="G183" s="28">
        <v>8.0</v>
      </c>
      <c r="H183" s="33" t="s">
        <v>94</v>
      </c>
    </row>
    <row r="184" ht="15.75" customHeight="1">
      <c r="A184" s="22">
        <v>183.0</v>
      </c>
      <c r="B184" s="23">
        <v>45840.0</v>
      </c>
      <c r="C184" s="22" t="s">
        <v>93</v>
      </c>
      <c r="D184" s="24">
        <v>245.0</v>
      </c>
      <c r="E184" s="25">
        <v>24258.0</v>
      </c>
      <c r="F184" s="26">
        <v>0.0101</v>
      </c>
      <c r="G184" s="22">
        <v>9.0</v>
      </c>
      <c r="H184" s="27" t="s">
        <v>95</v>
      </c>
    </row>
    <row r="185" ht="15.75" customHeight="1">
      <c r="A185" s="28">
        <v>184.0</v>
      </c>
      <c r="B185" s="29">
        <v>45841.0</v>
      </c>
      <c r="C185" s="28" t="s">
        <v>93</v>
      </c>
      <c r="D185" s="30">
        <v>568.0</v>
      </c>
      <c r="E185" s="31">
        <v>25893.0</v>
      </c>
      <c r="F185" s="32">
        <v>0.0219</v>
      </c>
      <c r="G185" s="28">
        <v>7.0</v>
      </c>
      <c r="H185" s="33" t="s">
        <v>96</v>
      </c>
    </row>
    <row r="186" ht="15.75" customHeight="1">
      <c r="A186" s="22">
        <v>185.0</v>
      </c>
      <c r="B186" s="23">
        <v>45842.0</v>
      </c>
      <c r="C186" s="22" t="s">
        <v>93</v>
      </c>
      <c r="D186" s="24">
        <v>1038.0</v>
      </c>
      <c r="E186" s="25">
        <v>22461.0</v>
      </c>
      <c r="F186" s="26">
        <v>0.0462</v>
      </c>
      <c r="G186" s="22">
        <v>6.0</v>
      </c>
      <c r="H186" s="27" t="s">
        <v>97</v>
      </c>
    </row>
    <row r="187" ht="15.75" customHeight="1">
      <c r="A187" s="28">
        <v>186.0</v>
      </c>
      <c r="B187" s="29">
        <v>45845.0</v>
      </c>
      <c r="C187" s="28" t="s">
        <v>93</v>
      </c>
      <c r="D187" s="30">
        <v>427.0</v>
      </c>
      <c r="E187" s="31">
        <v>27188.0</v>
      </c>
      <c r="F187" s="32">
        <v>0.0157</v>
      </c>
      <c r="G187" s="28">
        <v>5.0</v>
      </c>
      <c r="H187" s="33" t="s">
        <v>98</v>
      </c>
    </row>
    <row r="188" ht="15.75" customHeight="1">
      <c r="A188" s="22">
        <v>187.0</v>
      </c>
      <c r="B188" s="23">
        <v>45846.0</v>
      </c>
      <c r="C188" s="22" t="s">
        <v>93</v>
      </c>
      <c r="D188" s="24">
        <v>97.0</v>
      </c>
      <c r="E188" s="25">
        <v>25318.0</v>
      </c>
      <c r="F188" s="26">
        <v>0.0038</v>
      </c>
      <c r="G188" s="22">
        <v>4.0</v>
      </c>
      <c r="H188" s="27" t="s">
        <v>99</v>
      </c>
    </row>
    <row r="189" ht="15.75" customHeight="1">
      <c r="A189" s="28">
        <v>188.0</v>
      </c>
      <c r="B189" s="29">
        <v>45847.0</v>
      </c>
      <c r="C189" s="28" t="s">
        <v>93</v>
      </c>
      <c r="D189" s="30">
        <v>224.0</v>
      </c>
      <c r="E189" s="31">
        <v>16145.0</v>
      </c>
      <c r="F189" s="32">
        <v>0.0139</v>
      </c>
      <c r="G189" s="28">
        <v>3.0</v>
      </c>
      <c r="H189" s="33" t="s">
        <v>100</v>
      </c>
    </row>
    <row r="190" ht="15.75" customHeight="1">
      <c r="A190" s="22">
        <v>189.0</v>
      </c>
      <c r="B190" s="23">
        <v>45848.0</v>
      </c>
      <c r="C190" s="22" t="s">
        <v>93</v>
      </c>
      <c r="D190" s="24">
        <v>163.0</v>
      </c>
      <c r="E190" s="25">
        <v>16369.0</v>
      </c>
      <c r="F190" s="26">
        <v>0.01</v>
      </c>
      <c r="G190" s="22">
        <v>3.0</v>
      </c>
      <c r="H190" s="27" t="s">
        <v>100</v>
      </c>
    </row>
    <row r="191" ht="15.75" customHeight="1">
      <c r="A191" s="28">
        <v>190.0</v>
      </c>
      <c r="B191" s="29">
        <v>45853.0</v>
      </c>
      <c r="C191" s="28" t="s">
        <v>93</v>
      </c>
      <c r="D191" s="30">
        <v>621.0</v>
      </c>
      <c r="E191" s="31">
        <v>18882.0</v>
      </c>
      <c r="F191" s="32">
        <v>0.0329</v>
      </c>
      <c r="G191" s="28">
        <v>6.0</v>
      </c>
      <c r="H191" s="33" t="s">
        <v>101</v>
      </c>
    </row>
    <row r="192" ht="15.75" customHeight="1">
      <c r="A192" s="22">
        <v>191.0</v>
      </c>
      <c r="B192" s="23">
        <v>45854.0</v>
      </c>
      <c r="C192" s="22" t="s">
        <v>93</v>
      </c>
      <c r="D192" s="24">
        <v>566.0</v>
      </c>
      <c r="E192" s="25">
        <v>19962.0</v>
      </c>
      <c r="F192" s="26">
        <v>0.0284</v>
      </c>
      <c r="G192" s="22">
        <v>6.0</v>
      </c>
      <c r="H192" s="27" t="s">
        <v>101</v>
      </c>
    </row>
    <row r="193" ht="15.75" customHeight="1">
      <c r="A193" s="28">
        <v>192.0</v>
      </c>
      <c r="B193" s="29">
        <v>45855.0</v>
      </c>
      <c r="C193" s="28" t="s">
        <v>93</v>
      </c>
      <c r="D193" s="30">
        <v>121.0</v>
      </c>
      <c r="E193" s="31">
        <v>20226.0</v>
      </c>
      <c r="F193" s="32">
        <v>0.006</v>
      </c>
      <c r="G193" s="28">
        <v>8.0</v>
      </c>
      <c r="H193" s="33" t="s">
        <v>102</v>
      </c>
    </row>
    <row r="194" ht="15.75" customHeight="1">
      <c r="A194" s="22">
        <v>193.0</v>
      </c>
      <c r="B194" s="23">
        <v>45856.0</v>
      </c>
      <c r="C194" s="22" t="s">
        <v>93</v>
      </c>
      <c r="D194" s="24">
        <v>969.0</v>
      </c>
      <c r="E194" s="25">
        <v>25356.0</v>
      </c>
      <c r="F194" s="26">
        <v>0.0382</v>
      </c>
      <c r="G194" s="22">
        <v>7.0</v>
      </c>
      <c r="H194" s="27" t="s">
        <v>103</v>
      </c>
    </row>
    <row r="195" ht="15.75" customHeight="1">
      <c r="A195" s="28">
        <v>194.0</v>
      </c>
      <c r="B195" s="29">
        <v>45857.0</v>
      </c>
      <c r="C195" s="28" t="s">
        <v>93</v>
      </c>
      <c r="D195" s="35">
        <v>-540.0</v>
      </c>
      <c r="E195" s="31">
        <v>12963.0</v>
      </c>
      <c r="F195" s="32">
        <v>-0.0417</v>
      </c>
      <c r="G195" s="28">
        <v>5.0</v>
      </c>
      <c r="H195" s="33" t="s">
        <v>104</v>
      </c>
    </row>
    <row r="196" ht="15.75" customHeight="1">
      <c r="A196" s="22">
        <v>195.0</v>
      </c>
      <c r="B196" s="23">
        <v>45861.0</v>
      </c>
      <c r="C196" s="22" t="s">
        <v>93</v>
      </c>
      <c r="D196" s="24">
        <v>886.0</v>
      </c>
      <c r="E196" s="25">
        <v>17735.0</v>
      </c>
      <c r="F196" s="26">
        <v>0.05</v>
      </c>
      <c r="G196" s="22">
        <v>11.0</v>
      </c>
      <c r="H196" s="27" t="s">
        <v>105</v>
      </c>
    </row>
    <row r="197" ht="15.75" customHeight="1">
      <c r="A197" s="28">
        <v>196.0</v>
      </c>
      <c r="B197" s="29">
        <v>45869.0</v>
      </c>
      <c r="C197" s="28" t="s">
        <v>93</v>
      </c>
      <c r="D197" s="30">
        <v>738.0</v>
      </c>
      <c r="E197" s="31">
        <v>11200.0</v>
      </c>
      <c r="F197" s="32">
        <v>0.0659</v>
      </c>
      <c r="G197" s="28">
        <v>9.0</v>
      </c>
      <c r="H197" s="33" t="s">
        <v>106</v>
      </c>
    </row>
    <row r="198" ht="15.75" customHeight="1">
      <c r="A198" s="22">
        <v>197.0</v>
      </c>
      <c r="B198" s="23">
        <v>45870.0</v>
      </c>
      <c r="C198" s="22" t="s">
        <v>107</v>
      </c>
      <c r="D198" s="24">
        <v>507.0</v>
      </c>
      <c r="E198" s="25">
        <v>14756.0</v>
      </c>
      <c r="F198" s="26">
        <v>0.0344</v>
      </c>
      <c r="G198" s="22">
        <v>8.0</v>
      </c>
      <c r="H198" s="27" t="s">
        <v>108</v>
      </c>
    </row>
    <row r="199" ht="15.75" customHeight="1">
      <c r="A199" s="28">
        <v>198.0</v>
      </c>
      <c r="B199" s="29">
        <v>45871.0</v>
      </c>
      <c r="C199" s="28" t="s">
        <v>107</v>
      </c>
      <c r="D199" s="30">
        <v>369.0</v>
      </c>
      <c r="E199" s="31">
        <v>11143.0</v>
      </c>
      <c r="F199" s="32">
        <v>0.0331</v>
      </c>
      <c r="G199" s="28">
        <v>6.0</v>
      </c>
      <c r="H199" s="33" t="s">
        <v>109</v>
      </c>
    </row>
    <row r="200" ht="15.75" customHeight="1">
      <c r="A200" s="22">
        <v>199.0</v>
      </c>
      <c r="B200" s="23">
        <v>45872.0</v>
      </c>
      <c r="C200" s="22" t="s">
        <v>107</v>
      </c>
      <c r="D200" s="34">
        <v>-12.0</v>
      </c>
      <c r="E200" s="25">
        <v>14124.0</v>
      </c>
      <c r="F200" s="26">
        <v>-8.0E-4</v>
      </c>
      <c r="G200" s="22">
        <v>7.0</v>
      </c>
      <c r="H200" s="27" t="s">
        <v>110</v>
      </c>
    </row>
    <row r="201" ht="15.75" customHeight="1">
      <c r="A201" s="28">
        <v>200.0</v>
      </c>
      <c r="B201" s="29">
        <v>45873.0</v>
      </c>
      <c r="C201" s="28" t="s">
        <v>107</v>
      </c>
      <c r="D201" s="30">
        <v>509.0</v>
      </c>
      <c r="E201" s="31">
        <v>12542.0</v>
      </c>
      <c r="F201" s="32">
        <v>0.0406</v>
      </c>
      <c r="G201" s="28">
        <v>9.0</v>
      </c>
      <c r="H201" s="33" t="s">
        <v>111</v>
      </c>
    </row>
    <row r="202" ht="15.75" customHeight="1">
      <c r="A202" s="22">
        <v>201.0</v>
      </c>
      <c r="B202" s="23">
        <v>45874.0</v>
      </c>
      <c r="C202" s="22" t="s">
        <v>107</v>
      </c>
      <c r="D202" s="24">
        <v>236.0</v>
      </c>
      <c r="E202" s="25">
        <v>14440.0</v>
      </c>
      <c r="F202" s="26">
        <v>0.0163</v>
      </c>
      <c r="G202" s="22">
        <v>9.0</v>
      </c>
      <c r="H202" s="27" t="s">
        <v>111</v>
      </c>
    </row>
    <row r="203" ht="15.75" customHeight="1">
      <c r="A203" s="28">
        <v>202.0</v>
      </c>
      <c r="B203" s="29">
        <v>45875.0</v>
      </c>
      <c r="C203" s="28" t="s">
        <v>107</v>
      </c>
      <c r="D203" s="30">
        <v>134.0</v>
      </c>
      <c r="E203" s="31">
        <v>13647.0</v>
      </c>
      <c r="F203" s="32">
        <v>0.0098</v>
      </c>
      <c r="G203" s="28">
        <v>9.0</v>
      </c>
      <c r="H203" s="33" t="s">
        <v>111</v>
      </c>
    </row>
    <row r="204" ht="15.75" customHeight="1">
      <c r="A204" s="22">
        <v>203.0</v>
      </c>
      <c r="B204" s="23">
        <v>45876.0</v>
      </c>
      <c r="C204" s="22" t="s">
        <v>107</v>
      </c>
      <c r="D204" s="24">
        <v>532.0</v>
      </c>
      <c r="E204" s="25">
        <v>11460.0</v>
      </c>
      <c r="F204" s="26">
        <v>0.0464</v>
      </c>
      <c r="G204" s="22">
        <v>9.0</v>
      </c>
      <c r="H204" s="27" t="s">
        <v>112</v>
      </c>
    </row>
    <row r="205" ht="15.75" customHeight="1">
      <c r="A205" s="28">
        <v>204.0</v>
      </c>
      <c r="B205" s="29">
        <v>45877.0</v>
      </c>
      <c r="C205" s="28" t="s">
        <v>107</v>
      </c>
      <c r="D205" s="30">
        <v>304.0</v>
      </c>
      <c r="E205" s="31">
        <v>11194.0</v>
      </c>
      <c r="F205" s="32">
        <v>0.0272</v>
      </c>
      <c r="G205" s="28">
        <v>9.0</v>
      </c>
      <c r="H205" s="33" t="s">
        <v>112</v>
      </c>
    </row>
    <row r="206" ht="15.75" customHeight="1">
      <c r="A206" s="22">
        <v>205.0</v>
      </c>
      <c r="B206" s="23">
        <v>45883.0</v>
      </c>
      <c r="C206" s="22" t="s">
        <v>107</v>
      </c>
      <c r="D206" s="24">
        <v>603.0</v>
      </c>
      <c r="E206" s="25">
        <v>20451.0</v>
      </c>
      <c r="F206" s="26">
        <v>0.0295</v>
      </c>
      <c r="G206" s="22">
        <v>10.0</v>
      </c>
      <c r="H206" s="27" t="s">
        <v>113</v>
      </c>
    </row>
    <row r="207" ht="15.75" customHeight="1">
      <c r="A207" s="28">
        <v>206.0</v>
      </c>
      <c r="B207" s="29">
        <v>45885.0</v>
      </c>
      <c r="C207" s="28" t="s">
        <v>107</v>
      </c>
      <c r="D207" s="30">
        <v>1223.0</v>
      </c>
      <c r="E207" s="31">
        <v>15353.0</v>
      </c>
      <c r="F207" s="32">
        <v>0.0797</v>
      </c>
      <c r="G207" s="28">
        <v>9.0</v>
      </c>
      <c r="H207" s="33" t="s">
        <v>114</v>
      </c>
    </row>
    <row r="208" ht="15.75" customHeight="1">
      <c r="A208" s="22">
        <v>207.0</v>
      </c>
      <c r="B208" s="23">
        <v>45888.0</v>
      </c>
      <c r="C208" s="22" t="s">
        <v>107</v>
      </c>
      <c r="D208" s="34">
        <v>-639.0</v>
      </c>
      <c r="E208" s="25">
        <v>10099.0</v>
      </c>
      <c r="F208" s="26">
        <v>-0.0633</v>
      </c>
      <c r="G208" s="22">
        <v>6.0</v>
      </c>
      <c r="H208" s="27" t="s">
        <v>115</v>
      </c>
    </row>
    <row r="209" ht="15.75" customHeight="1">
      <c r="A209" s="28">
        <v>208.0</v>
      </c>
      <c r="B209" s="29">
        <v>45889.0</v>
      </c>
      <c r="C209" s="28" t="s">
        <v>107</v>
      </c>
      <c r="D209" s="30">
        <v>44.0</v>
      </c>
      <c r="E209" s="31">
        <v>12960.0</v>
      </c>
      <c r="F209" s="32">
        <v>0.0034</v>
      </c>
      <c r="G209" s="28">
        <v>6.0</v>
      </c>
      <c r="H209" s="33" t="s">
        <v>115</v>
      </c>
    </row>
    <row r="210" ht="15.75" customHeight="1">
      <c r="A210" s="22">
        <v>209.0</v>
      </c>
      <c r="B210" s="23">
        <v>45890.0</v>
      </c>
      <c r="C210" s="22" t="s">
        <v>107</v>
      </c>
      <c r="D210" s="24">
        <v>254.0</v>
      </c>
      <c r="E210" s="25">
        <v>10612.0</v>
      </c>
      <c r="F210" s="26">
        <v>0.0239</v>
      </c>
      <c r="G210" s="22">
        <v>7.0</v>
      </c>
      <c r="H210" s="27" t="s">
        <v>116</v>
      </c>
    </row>
    <row r="211" ht="15.75" customHeight="1">
      <c r="A211" s="28">
        <v>210.0</v>
      </c>
      <c r="B211" s="29">
        <v>45893.0</v>
      </c>
      <c r="C211" s="28" t="s">
        <v>107</v>
      </c>
      <c r="D211" s="35">
        <v>-115.0</v>
      </c>
      <c r="E211" s="31">
        <v>13821.0</v>
      </c>
      <c r="F211" s="32">
        <v>-0.0083</v>
      </c>
      <c r="G211" s="28">
        <v>9.0</v>
      </c>
      <c r="H211" s="33" t="s">
        <v>117</v>
      </c>
    </row>
    <row r="212" ht="15.75" customHeight="1">
      <c r="A212" s="22">
        <v>211.0</v>
      </c>
      <c r="B212" s="23">
        <v>45895.0</v>
      </c>
      <c r="C212" s="22" t="s">
        <v>107</v>
      </c>
      <c r="D212" s="34">
        <v>-398.0</v>
      </c>
      <c r="E212" s="25">
        <v>11712.0</v>
      </c>
      <c r="F212" s="26">
        <v>-0.034</v>
      </c>
      <c r="G212" s="22">
        <v>9.0</v>
      </c>
      <c r="H212" s="27" t="s">
        <v>112</v>
      </c>
    </row>
    <row r="213" ht="15.75" customHeight="1">
      <c r="A213" s="28">
        <v>212.0</v>
      </c>
      <c r="B213" s="29">
        <v>45897.0</v>
      </c>
      <c r="C213" s="28" t="s">
        <v>107</v>
      </c>
      <c r="D213" s="30">
        <v>1157.0</v>
      </c>
      <c r="E213" s="31">
        <v>12375.0</v>
      </c>
      <c r="F213" s="32">
        <v>0.0935</v>
      </c>
      <c r="G213" s="28">
        <v>9.0</v>
      </c>
      <c r="H213" s="33" t="s">
        <v>118</v>
      </c>
    </row>
    <row r="214" ht="15.75" customHeight="1">
      <c r="A214" s="22">
        <v>213.0</v>
      </c>
      <c r="B214" s="23">
        <v>45898.0</v>
      </c>
      <c r="C214" s="22" t="s">
        <v>107</v>
      </c>
      <c r="D214" s="24">
        <v>1442.0</v>
      </c>
      <c r="E214" s="25">
        <v>10234.0</v>
      </c>
      <c r="F214" s="26">
        <v>0.1409</v>
      </c>
      <c r="G214" s="22">
        <v>6.0</v>
      </c>
      <c r="H214" s="27" t="s">
        <v>119</v>
      </c>
    </row>
    <row r="215" ht="15.75" customHeight="1">
      <c r="A215" s="28">
        <v>214.0</v>
      </c>
      <c r="B215" s="29">
        <v>45900.0</v>
      </c>
      <c r="C215" s="28" t="s">
        <v>107</v>
      </c>
      <c r="D215" s="30">
        <v>1062.0</v>
      </c>
      <c r="E215" s="31">
        <v>17009.0</v>
      </c>
      <c r="F215" s="32">
        <v>0.0624</v>
      </c>
      <c r="G215" s="28">
        <v>10.0</v>
      </c>
      <c r="H215" s="33" t="s">
        <v>120</v>
      </c>
    </row>
    <row r="216" ht="15.75" customHeight="1">
      <c r="A216" s="22">
        <v>215.0</v>
      </c>
      <c r="B216" s="23">
        <v>45901.0</v>
      </c>
      <c r="C216" s="22" t="s">
        <v>121</v>
      </c>
      <c r="D216" s="24">
        <v>691.0</v>
      </c>
      <c r="E216" s="25">
        <v>17743.0</v>
      </c>
      <c r="F216" s="26">
        <v>0.0389</v>
      </c>
      <c r="G216" s="22">
        <v>12.0</v>
      </c>
      <c r="H216" s="27" t="s">
        <v>122</v>
      </c>
    </row>
    <row r="217" ht="15.75" customHeight="1">
      <c r="A217" s="28">
        <v>216.0</v>
      </c>
      <c r="B217" s="29">
        <v>45902.0</v>
      </c>
      <c r="C217" s="28" t="s">
        <v>121</v>
      </c>
      <c r="D217" s="30">
        <v>600.0</v>
      </c>
      <c r="E217" s="31">
        <v>12750.0</v>
      </c>
      <c r="F217" s="32">
        <v>0.0471</v>
      </c>
      <c r="G217" s="28">
        <v>7.0</v>
      </c>
      <c r="H217" s="33" t="s">
        <v>123</v>
      </c>
    </row>
    <row r="218" ht="15.75" customHeight="1">
      <c r="A218" s="22">
        <v>217.0</v>
      </c>
      <c r="B218" s="23">
        <v>45903.0</v>
      </c>
      <c r="C218" s="22" t="s">
        <v>121</v>
      </c>
      <c r="D218" s="24">
        <v>832.0</v>
      </c>
      <c r="E218" s="25">
        <v>21625.0</v>
      </c>
      <c r="F218" s="26">
        <v>0.0385</v>
      </c>
      <c r="G218" s="22">
        <v>10.0</v>
      </c>
      <c r="H218" s="27" t="s">
        <v>113</v>
      </c>
    </row>
    <row r="219" ht="15.75" customHeight="1">
      <c r="A219" s="28">
        <v>218.0</v>
      </c>
      <c r="B219" s="29">
        <v>45904.0</v>
      </c>
      <c r="C219" s="28" t="s">
        <v>121</v>
      </c>
      <c r="D219" s="30">
        <v>192.0</v>
      </c>
      <c r="E219" s="31">
        <v>21588.0</v>
      </c>
      <c r="F219" s="32">
        <v>0.0089</v>
      </c>
      <c r="G219" s="28">
        <v>11.0</v>
      </c>
      <c r="H219" s="33" t="s">
        <v>124</v>
      </c>
    </row>
    <row r="220" ht="15.75" customHeight="1">
      <c r="A220" s="22">
        <v>219.0</v>
      </c>
      <c r="B220" s="23">
        <v>45905.0</v>
      </c>
      <c r="C220" s="22" t="s">
        <v>121</v>
      </c>
      <c r="D220" s="24">
        <v>449.0</v>
      </c>
      <c r="E220" s="25">
        <v>13615.0</v>
      </c>
      <c r="F220" s="26">
        <v>0.033</v>
      </c>
      <c r="G220" s="22">
        <v>6.0</v>
      </c>
      <c r="H220" s="27" t="s">
        <v>125</v>
      </c>
    </row>
    <row r="221" ht="15.75" customHeight="1">
      <c r="A221" s="28">
        <v>220.0</v>
      </c>
      <c r="B221" s="29">
        <v>45907.0</v>
      </c>
      <c r="C221" s="28" t="s">
        <v>121</v>
      </c>
      <c r="D221" s="30">
        <v>124.0</v>
      </c>
      <c r="E221" s="31">
        <v>11780.0</v>
      </c>
      <c r="F221" s="32">
        <v>0.0105</v>
      </c>
      <c r="G221" s="28">
        <v>11.0</v>
      </c>
      <c r="H221" s="33" t="s">
        <v>124</v>
      </c>
    </row>
    <row r="222" ht="15.75" customHeight="1">
      <c r="A222" s="22">
        <v>221.0</v>
      </c>
      <c r="B222" s="23">
        <v>45908.0</v>
      </c>
      <c r="C222" s="22" t="s">
        <v>121</v>
      </c>
      <c r="D222" s="24">
        <v>438.0</v>
      </c>
      <c r="E222" s="25">
        <v>18426.0</v>
      </c>
      <c r="F222" s="26">
        <v>0.0238</v>
      </c>
      <c r="G222" s="22">
        <v>12.0</v>
      </c>
      <c r="H222" s="27" t="s">
        <v>122</v>
      </c>
    </row>
    <row r="223" ht="15.75" customHeight="1">
      <c r="A223" s="28">
        <v>222.0</v>
      </c>
      <c r="B223" s="29">
        <v>45909.0</v>
      </c>
      <c r="C223" s="28" t="s">
        <v>121</v>
      </c>
      <c r="D223" s="30">
        <v>298.5</v>
      </c>
      <c r="E223" s="31">
        <v>24737.0</v>
      </c>
      <c r="F223" s="32">
        <v>0.0121</v>
      </c>
      <c r="G223" s="28">
        <v>11.0</v>
      </c>
      <c r="H223" s="33" t="s">
        <v>124</v>
      </c>
    </row>
    <row r="224" ht="15.75" customHeight="1">
      <c r="A224" s="22">
        <v>223.0</v>
      </c>
      <c r="B224" s="23">
        <v>45910.0</v>
      </c>
      <c r="C224" s="22" t="s">
        <v>121</v>
      </c>
      <c r="D224" s="24">
        <v>298.5</v>
      </c>
      <c r="E224" s="25">
        <v>24737.0</v>
      </c>
      <c r="F224" s="26">
        <v>0.0121</v>
      </c>
      <c r="G224" s="22">
        <v>11.0</v>
      </c>
      <c r="H224" s="27" t="s">
        <v>124</v>
      </c>
    </row>
    <row r="225" ht="15.75" customHeight="1">
      <c r="A225" s="28">
        <v>224.0</v>
      </c>
      <c r="B225" s="29">
        <v>45911.0</v>
      </c>
      <c r="C225" s="28" t="s">
        <v>121</v>
      </c>
      <c r="D225" s="30">
        <v>525.0</v>
      </c>
      <c r="E225" s="31">
        <v>24013.0</v>
      </c>
      <c r="F225" s="32">
        <v>0.0219</v>
      </c>
      <c r="G225" s="28">
        <v>11.0</v>
      </c>
      <c r="H225" s="33" t="s">
        <v>124</v>
      </c>
    </row>
    <row r="226" ht="15.75" customHeight="1">
      <c r="A226" s="22">
        <v>225.0</v>
      </c>
      <c r="B226" s="23">
        <v>45912.0</v>
      </c>
      <c r="C226" s="22" t="s">
        <v>121</v>
      </c>
      <c r="D226" s="24">
        <v>1154.0</v>
      </c>
      <c r="E226" s="25">
        <v>25339.0</v>
      </c>
      <c r="F226" s="26">
        <v>0.0455</v>
      </c>
      <c r="G226" s="22">
        <v>11.0</v>
      </c>
      <c r="H226" s="27" t="s">
        <v>124</v>
      </c>
    </row>
    <row r="227" ht="15.75" customHeight="1">
      <c r="A227" s="28">
        <v>226.0</v>
      </c>
      <c r="B227" s="29">
        <v>45914.0</v>
      </c>
      <c r="C227" s="28" t="s">
        <v>121</v>
      </c>
      <c r="D227" s="30">
        <v>581.0</v>
      </c>
      <c r="E227" s="31">
        <v>27211.0</v>
      </c>
      <c r="F227" s="32">
        <v>0.0214</v>
      </c>
      <c r="G227" s="28">
        <v>11.0</v>
      </c>
      <c r="H227" s="33" t="s">
        <v>124</v>
      </c>
    </row>
    <row r="228" ht="15.75" customHeight="1">
      <c r="A228" s="22">
        <v>227.0</v>
      </c>
      <c r="B228" s="23">
        <v>45916.0</v>
      </c>
      <c r="C228" s="22" t="s">
        <v>121</v>
      </c>
      <c r="D228" s="24">
        <v>503.0</v>
      </c>
      <c r="E228" s="25">
        <v>26866.0</v>
      </c>
      <c r="F228" s="26">
        <v>0.0187</v>
      </c>
      <c r="G228" s="22">
        <v>10.0</v>
      </c>
      <c r="H228" s="27" t="s">
        <v>126</v>
      </c>
    </row>
    <row r="229" ht="15.75" customHeight="1">
      <c r="A229" s="28">
        <v>228.0</v>
      </c>
      <c r="B229" s="29">
        <v>45918.0</v>
      </c>
      <c r="C229" s="28" t="s">
        <v>121</v>
      </c>
      <c r="D229" s="30">
        <v>225.0</v>
      </c>
      <c r="E229" s="31">
        <v>21736.0</v>
      </c>
      <c r="F229" s="32">
        <v>0.0104</v>
      </c>
      <c r="G229" s="28">
        <v>9.0</v>
      </c>
      <c r="H229" s="33" t="s">
        <v>127</v>
      </c>
    </row>
    <row r="230" ht="15.75" customHeight="1">
      <c r="A230" s="22">
        <v>229.0</v>
      </c>
      <c r="B230" s="23">
        <v>45919.0</v>
      </c>
      <c r="C230" s="22" t="s">
        <v>121</v>
      </c>
      <c r="D230" s="24">
        <v>592.0</v>
      </c>
      <c r="E230" s="25">
        <v>34970.0</v>
      </c>
      <c r="F230" s="26">
        <v>0.0169</v>
      </c>
      <c r="G230" s="22">
        <v>10.0</v>
      </c>
      <c r="H230" s="27" t="s">
        <v>128</v>
      </c>
    </row>
    <row r="231" ht="15.75" customHeight="1">
      <c r="A231" s="28">
        <v>230.0</v>
      </c>
      <c r="B231" s="29">
        <v>45920.0</v>
      </c>
      <c r="C231" s="28" t="s">
        <v>121</v>
      </c>
      <c r="D231" s="30">
        <v>592.0</v>
      </c>
      <c r="E231" s="31">
        <v>34970.0</v>
      </c>
      <c r="F231" s="32">
        <v>0.0169</v>
      </c>
      <c r="G231" s="28">
        <v>10.0</v>
      </c>
      <c r="H231" s="33" t="s">
        <v>128</v>
      </c>
    </row>
    <row r="232" ht="15.75" customHeight="1">
      <c r="A232" s="22">
        <v>231.0</v>
      </c>
      <c r="B232" s="23">
        <v>45921.0</v>
      </c>
      <c r="C232" s="22" t="s">
        <v>121</v>
      </c>
      <c r="D232" s="24">
        <v>869.0</v>
      </c>
      <c r="E232" s="25">
        <v>28040.0</v>
      </c>
      <c r="F232" s="26">
        <v>0.031</v>
      </c>
      <c r="G232" s="22">
        <v>9.0</v>
      </c>
      <c r="H232" s="27" t="s">
        <v>129</v>
      </c>
    </row>
    <row r="233" ht="15.75" customHeight="1">
      <c r="A233" s="28">
        <v>232.0</v>
      </c>
      <c r="B233" s="29">
        <v>45939.0</v>
      </c>
      <c r="C233" s="28" t="s">
        <v>130</v>
      </c>
      <c r="D233" s="30">
        <v>710.0</v>
      </c>
      <c r="E233" s="31">
        <v>11495.0</v>
      </c>
      <c r="F233" s="32">
        <v>0.0618</v>
      </c>
      <c r="G233" s="28">
        <v>9.0</v>
      </c>
      <c r="H233" s="33" t="s">
        <v>131</v>
      </c>
    </row>
    <row r="234" ht="15.75" customHeight="1">
      <c r="A234" s="22">
        <v>233.0</v>
      </c>
      <c r="B234" s="23">
        <v>45940.0</v>
      </c>
      <c r="C234" s="22" t="s">
        <v>130</v>
      </c>
      <c r="D234" s="24">
        <v>844.0</v>
      </c>
      <c r="E234" s="25">
        <v>14173.0</v>
      </c>
      <c r="F234" s="26">
        <v>0.0595</v>
      </c>
      <c r="G234" s="22">
        <v>10.0</v>
      </c>
      <c r="H234" s="27" t="s">
        <v>113</v>
      </c>
    </row>
    <row r="235" ht="15.75" customHeight="1">
      <c r="A235" s="28">
        <v>234.0</v>
      </c>
      <c r="B235" s="29">
        <v>45941.0</v>
      </c>
      <c r="C235" s="28" t="s">
        <v>130</v>
      </c>
      <c r="D235" s="30">
        <v>211.0</v>
      </c>
      <c r="E235" s="31">
        <v>7950.0</v>
      </c>
      <c r="F235" s="32">
        <v>0.0265</v>
      </c>
      <c r="G235" s="28">
        <v>4.0</v>
      </c>
      <c r="H235" s="33" t="s">
        <v>132</v>
      </c>
    </row>
    <row r="236" ht="15.75" customHeight="1">
      <c r="A236" s="22">
        <v>235.0</v>
      </c>
      <c r="B236" s="23">
        <v>45943.0</v>
      </c>
      <c r="C236" s="22" t="s">
        <v>130</v>
      </c>
      <c r="D236" s="24">
        <v>2255.0</v>
      </c>
      <c r="E236" s="25">
        <v>15161.0</v>
      </c>
      <c r="F236" s="26">
        <v>0.1487</v>
      </c>
      <c r="G236" s="22">
        <v>10.0</v>
      </c>
      <c r="H236" s="27" t="s">
        <v>113</v>
      </c>
    </row>
    <row r="237" ht="15.75" customHeight="1">
      <c r="A237" s="28">
        <v>236.0</v>
      </c>
      <c r="B237" s="29">
        <v>45944.0</v>
      </c>
      <c r="C237" s="28" t="s">
        <v>130</v>
      </c>
      <c r="D237" s="30">
        <v>913.0</v>
      </c>
      <c r="E237" s="31">
        <v>24616.0</v>
      </c>
      <c r="F237" s="32">
        <v>0.0371</v>
      </c>
      <c r="G237" s="28">
        <v>11.0</v>
      </c>
      <c r="H237" s="33" t="s">
        <v>133</v>
      </c>
    </row>
    <row r="238" ht="15.75" customHeight="1">
      <c r="A238" s="22">
        <v>237.0</v>
      </c>
      <c r="B238" s="23">
        <v>45945.0</v>
      </c>
      <c r="C238" s="22" t="s">
        <v>130</v>
      </c>
      <c r="D238" s="24">
        <v>246.0</v>
      </c>
      <c r="E238" s="25">
        <v>16227.0</v>
      </c>
      <c r="F238" s="26">
        <v>0.0152</v>
      </c>
      <c r="G238" s="22">
        <v>7.0</v>
      </c>
      <c r="H238" s="27" t="s">
        <v>134</v>
      </c>
    </row>
    <row r="239" ht="15.75" customHeight="1">
      <c r="A239" s="28">
        <v>238.0</v>
      </c>
      <c r="B239" s="29">
        <v>45946.0</v>
      </c>
      <c r="C239" s="28" t="s">
        <v>130</v>
      </c>
      <c r="D239" s="30">
        <v>256.0</v>
      </c>
      <c r="E239" s="31">
        <v>28978.0</v>
      </c>
      <c r="F239" s="32">
        <v>0.0088</v>
      </c>
      <c r="G239" s="28">
        <v>11.0</v>
      </c>
      <c r="H239" s="33" t="s">
        <v>133</v>
      </c>
    </row>
    <row r="240" ht="15.75" customHeight="1">
      <c r="A240" s="22">
        <v>239.0</v>
      </c>
      <c r="B240" s="23">
        <v>45947.0</v>
      </c>
      <c r="C240" s="22" t="s">
        <v>130</v>
      </c>
      <c r="D240" s="34">
        <v>-233.0</v>
      </c>
      <c r="E240" s="25">
        <v>22463.0</v>
      </c>
      <c r="F240" s="26">
        <v>-0.0104</v>
      </c>
      <c r="G240" s="22">
        <v>10.0</v>
      </c>
      <c r="H240" s="27" t="s">
        <v>113</v>
      </c>
    </row>
    <row r="241" ht="15.75" customHeight="1">
      <c r="A241" s="28">
        <v>240.0</v>
      </c>
      <c r="B241" s="29">
        <v>45948.0</v>
      </c>
      <c r="C241" s="28" t="s">
        <v>130</v>
      </c>
      <c r="D241" s="30">
        <v>156.0</v>
      </c>
      <c r="E241" s="31">
        <v>16881.0</v>
      </c>
      <c r="F241" s="32">
        <v>0.0092</v>
      </c>
      <c r="G241" s="28">
        <v>6.0</v>
      </c>
      <c r="H241" s="33" t="s">
        <v>135</v>
      </c>
    </row>
    <row r="242" ht="15.75" customHeight="1">
      <c r="A242" s="22">
        <v>241.0</v>
      </c>
      <c r="B242" s="23">
        <v>45950.0</v>
      </c>
      <c r="C242" s="22" t="s">
        <v>130</v>
      </c>
      <c r="D242" s="24">
        <v>824.0</v>
      </c>
      <c r="E242" s="25">
        <v>11934.0</v>
      </c>
      <c r="F242" s="26">
        <v>0.069</v>
      </c>
      <c r="G242" s="22">
        <v>9.0</v>
      </c>
      <c r="H242" s="27" t="s">
        <v>136</v>
      </c>
    </row>
    <row r="243" ht="15.75" customHeight="1">
      <c r="A243" s="28">
        <v>242.0</v>
      </c>
      <c r="B243" s="29">
        <v>45951.0</v>
      </c>
      <c r="C243" s="28" t="s">
        <v>130</v>
      </c>
      <c r="D243" s="30">
        <v>624.0</v>
      </c>
      <c r="E243" s="31">
        <v>17708.0</v>
      </c>
      <c r="F243" s="32">
        <v>0.0352</v>
      </c>
      <c r="G243" s="28">
        <v>10.0</v>
      </c>
      <c r="H243" s="33" t="s">
        <v>137</v>
      </c>
    </row>
    <row r="244" ht="15.75" customHeight="1">
      <c r="A244" s="22">
        <v>243.0</v>
      </c>
      <c r="B244" s="23">
        <v>45952.0</v>
      </c>
      <c r="C244" s="22" t="s">
        <v>130</v>
      </c>
      <c r="D244" s="24">
        <v>619.0</v>
      </c>
      <c r="E244" s="25">
        <v>26299.0</v>
      </c>
      <c r="F244" s="26">
        <v>0.0235</v>
      </c>
      <c r="G244" s="22">
        <v>11.0</v>
      </c>
      <c r="H244" s="27" t="s">
        <v>124</v>
      </c>
    </row>
    <row r="245" ht="15.75" customHeight="1">
      <c r="A245" s="28">
        <v>244.0</v>
      </c>
      <c r="B245" s="29">
        <v>45953.0</v>
      </c>
      <c r="C245" s="28" t="s">
        <v>130</v>
      </c>
      <c r="D245" s="30">
        <v>424.0</v>
      </c>
      <c r="E245" s="31">
        <v>21500.0</v>
      </c>
      <c r="F245" s="32">
        <v>0.0197</v>
      </c>
      <c r="G245" s="28">
        <v>10.0</v>
      </c>
      <c r="H245" s="33" t="s">
        <v>138</v>
      </c>
    </row>
    <row r="246" ht="15.75" customHeight="1">
      <c r="A246" s="22">
        <v>245.0</v>
      </c>
      <c r="B246" s="23">
        <v>45954.0</v>
      </c>
      <c r="C246" s="22" t="s">
        <v>130</v>
      </c>
      <c r="D246" s="24">
        <v>1207.0</v>
      </c>
      <c r="E246" s="25">
        <v>16569.0</v>
      </c>
      <c r="F246" s="26">
        <v>0.0728</v>
      </c>
      <c r="G246" s="22">
        <v>10.0</v>
      </c>
      <c r="H246" s="27" t="s">
        <v>139</v>
      </c>
    </row>
    <row r="247" ht="15.75" customHeight="1">
      <c r="A247" s="28">
        <v>246.0</v>
      </c>
      <c r="B247" s="29">
        <v>45955.0</v>
      </c>
      <c r="C247" s="28" t="s">
        <v>130</v>
      </c>
      <c r="D247" s="30">
        <v>814.0</v>
      </c>
      <c r="E247" s="31">
        <v>17776.0</v>
      </c>
      <c r="F247" s="32">
        <v>0.0458</v>
      </c>
      <c r="G247" s="28">
        <v>9.0</v>
      </c>
      <c r="H247" s="33" t="s">
        <v>140</v>
      </c>
    </row>
    <row r="248" ht="15.75" customHeight="1">
      <c r="A248" s="22">
        <v>247.0</v>
      </c>
      <c r="B248" s="23">
        <v>45956.0</v>
      </c>
      <c r="C248" s="22" t="s">
        <v>130</v>
      </c>
      <c r="D248" s="24">
        <v>326.0</v>
      </c>
      <c r="E248" s="25">
        <v>20590.0</v>
      </c>
      <c r="F248" s="26">
        <v>0.0158</v>
      </c>
      <c r="G248" s="22">
        <v>9.0</v>
      </c>
      <c r="H248" s="27" t="s">
        <v>140</v>
      </c>
    </row>
    <row r="249" ht="15.75" customHeight="1">
      <c r="A249" s="28">
        <v>248.0</v>
      </c>
      <c r="B249" s="29">
        <v>45957.0</v>
      </c>
      <c r="C249" s="28" t="s">
        <v>130</v>
      </c>
      <c r="D249" s="30">
        <v>355.0</v>
      </c>
      <c r="E249" s="31">
        <v>19520.0</v>
      </c>
      <c r="F249" s="32">
        <v>0.0182</v>
      </c>
      <c r="G249" s="28">
        <v>12.0</v>
      </c>
      <c r="H249" s="33" t="s">
        <v>141</v>
      </c>
    </row>
    <row r="250" ht="15.75" customHeight="1">
      <c r="A250" s="22">
        <v>249.0</v>
      </c>
      <c r="B250" s="23">
        <v>45958.0</v>
      </c>
      <c r="C250" s="22" t="s">
        <v>130</v>
      </c>
      <c r="D250" s="24">
        <v>2942.0</v>
      </c>
      <c r="E250" s="25">
        <v>18640.0</v>
      </c>
      <c r="F250" s="26">
        <v>0.1578</v>
      </c>
      <c r="G250" s="22">
        <v>10.0</v>
      </c>
      <c r="H250" s="27" t="s">
        <v>142</v>
      </c>
    </row>
    <row r="251" ht="15.75" customHeight="1">
      <c r="A251" s="28">
        <v>250.0</v>
      </c>
      <c r="B251" s="29">
        <v>45959.0</v>
      </c>
      <c r="C251" s="28" t="s">
        <v>130</v>
      </c>
      <c r="D251" s="30">
        <v>993.0</v>
      </c>
      <c r="E251" s="31">
        <v>20215.0</v>
      </c>
      <c r="F251" s="32">
        <v>0.0491</v>
      </c>
      <c r="G251" s="28">
        <v>7.0</v>
      </c>
      <c r="H251" s="33" t="s">
        <v>143</v>
      </c>
    </row>
    <row r="252" ht="15.75" customHeight="1">
      <c r="A252" s="22">
        <v>251.0</v>
      </c>
      <c r="B252" s="23">
        <v>45960.0</v>
      </c>
      <c r="C252" s="22" t="s">
        <v>130</v>
      </c>
      <c r="D252" s="24">
        <v>558.0</v>
      </c>
      <c r="E252" s="25">
        <v>17656.0</v>
      </c>
      <c r="F252" s="26">
        <v>0.0316</v>
      </c>
      <c r="G252" s="22">
        <v>8.0</v>
      </c>
      <c r="H252" s="27" t="s">
        <v>144</v>
      </c>
    </row>
    <row r="253" ht="15.75" customHeight="1">
      <c r="A253" s="28">
        <v>252.0</v>
      </c>
      <c r="B253" s="29">
        <v>45961.0</v>
      </c>
      <c r="C253" s="28" t="s">
        <v>130</v>
      </c>
      <c r="D253" s="30">
        <v>1930.0</v>
      </c>
      <c r="E253" s="31">
        <v>20214.0</v>
      </c>
      <c r="F253" s="32">
        <v>0.0955</v>
      </c>
      <c r="G253" s="28">
        <v>9.0</v>
      </c>
      <c r="H253" s="33" t="s">
        <v>145</v>
      </c>
    </row>
    <row r="254" ht="15.75" customHeight="1">
      <c r="A254" s="22">
        <v>253.0</v>
      </c>
      <c r="B254" s="23">
        <v>45963.0</v>
      </c>
      <c r="C254" s="22" t="s">
        <v>146</v>
      </c>
      <c r="D254" s="34">
        <v>-776.0</v>
      </c>
      <c r="E254" s="25">
        <v>37144.0</v>
      </c>
      <c r="F254" s="26">
        <v>-0.0209</v>
      </c>
      <c r="G254" s="22">
        <v>9.0</v>
      </c>
      <c r="H254" s="27" t="s">
        <v>145</v>
      </c>
    </row>
    <row r="255" ht="15.75" customHeight="1">
      <c r="A255" s="28">
        <v>254.0</v>
      </c>
      <c r="B255" s="29">
        <v>45964.0</v>
      </c>
      <c r="C255" s="28" t="s">
        <v>146</v>
      </c>
      <c r="D255" s="30">
        <v>489.0</v>
      </c>
      <c r="E255" s="31">
        <v>33498.0</v>
      </c>
      <c r="F255" s="32">
        <v>0.0146</v>
      </c>
      <c r="G255" s="28">
        <v>10.0</v>
      </c>
      <c r="H255" s="33" t="s">
        <v>147</v>
      </c>
    </row>
    <row r="256" ht="15.75" customHeight="1">
      <c r="A256" s="22">
        <v>255.0</v>
      </c>
      <c r="B256" s="23">
        <v>45965.0</v>
      </c>
      <c r="C256" s="22" t="s">
        <v>146</v>
      </c>
      <c r="D256" s="24">
        <v>696.0</v>
      </c>
      <c r="E256" s="25">
        <v>19529.0</v>
      </c>
      <c r="F256" s="26">
        <v>0.0356</v>
      </c>
      <c r="G256" s="22">
        <v>8.0</v>
      </c>
      <c r="H256" s="27" t="s">
        <v>148</v>
      </c>
    </row>
    <row r="257" ht="15.75" customHeight="1">
      <c r="A257" s="28">
        <v>256.0</v>
      </c>
      <c r="B257" s="29">
        <v>45966.0</v>
      </c>
      <c r="C257" s="28" t="s">
        <v>146</v>
      </c>
      <c r="D257" s="30">
        <v>1203.0</v>
      </c>
      <c r="E257" s="31">
        <v>29515.0</v>
      </c>
      <c r="F257" s="32">
        <v>0.0408</v>
      </c>
      <c r="G257" s="28">
        <v>9.0</v>
      </c>
      <c r="H257" s="33" t="s">
        <v>149</v>
      </c>
    </row>
    <row r="258" ht="15.75" customHeight="1">
      <c r="A258" s="22">
        <v>257.0</v>
      </c>
      <c r="B258" s="23">
        <v>45968.0</v>
      </c>
      <c r="C258" s="22" t="s">
        <v>146</v>
      </c>
      <c r="D258" s="34">
        <v>-2306.0</v>
      </c>
      <c r="E258" s="25">
        <v>23158.0</v>
      </c>
      <c r="F258" s="26">
        <v>-0.0996</v>
      </c>
      <c r="G258" s="22">
        <v>7.0</v>
      </c>
      <c r="H258" s="27" t="s">
        <v>150</v>
      </c>
    </row>
    <row r="259" ht="15.75" customHeight="1">
      <c r="A259" s="28">
        <v>258.0</v>
      </c>
      <c r="B259" s="29">
        <v>45969.0</v>
      </c>
      <c r="C259" s="28" t="s">
        <v>146</v>
      </c>
      <c r="D259" s="35">
        <v>-501.0</v>
      </c>
      <c r="E259" s="31">
        <v>14222.0</v>
      </c>
      <c r="F259" s="32">
        <v>-0.0352</v>
      </c>
      <c r="G259" s="28">
        <v>6.0</v>
      </c>
      <c r="H259" s="33" t="s">
        <v>151</v>
      </c>
    </row>
    <row r="260" ht="15.75" customHeight="1">
      <c r="A260" s="22">
        <v>259.0</v>
      </c>
      <c r="B260" s="23">
        <v>45971.0</v>
      </c>
      <c r="C260" s="22" t="s">
        <v>146</v>
      </c>
      <c r="D260" s="34">
        <v>-2594.0</v>
      </c>
      <c r="E260" s="25">
        <v>21413.0</v>
      </c>
      <c r="F260" s="26">
        <v>-0.1211</v>
      </c>
      <c r="G260" s="22">
        <v>6.0</v>
      </c>
      <c r="H260" s="27" t="s">
        <v>152</v>
      </c>
    </row>
    <row r="261" ht="15.75" customHeight="1">
      <c r="A261" s="28">
        <v>260.0</v>
      </c>
      <c r="B261" s="29">
        <v>45975.0</v>
      </c>
      <c r="C261" s="28" t="s">
        <v>146</v>
      </c>
      <c r="D261" s="30">
        <v>478.0</v>
      </c>
      <c r="E261" s="31">
        <v>5293.0</v>
      </c>
      <c r="F261" s="32">
        <v>0.0903</v>
      </c>
      <c r="G261" s="28">
        <v>5.0</v>
      </c>
      <c r="H261" s="33" t="s">
        <v>153</v>
      </c>
    </row>
    <row r="262" ht="15.75" customHeight="1">
      <c r="A262" s="22">
        <v>261.0</v>
      </c>
      <c r="B262" s="23">
        <v>45978.0</v>
      </c>
      <c r="C262" s="22" t="s">
        <v>146</v>
      </c>
      <c r="D262" s="24">
        <v>422.0</v>
      </c>
      <c r="E262" s="25">
        <v>11271.0</v>
      </c>
      <c r="F262" s="26">
        <v>0.0374</v>
      </c>
      <c r="G262" s="22">
        <v>9.0</v>
      </c>
      <c r="H262" s="27" t="s">
        <v>154</v>
      </c>
    </row>
    <row r="263" ht="15.75" customHeight="1">
      <c r="A263" s="28">
        <v>262.0</v>
      </c>
      <c r="B263" s="29">
        <v>45979.0</v>
      </c>
      <c r="C263" s="28" t="s">
        <v>146</v>
      </c>
      <c r="D263" s="35">
        <v>-183.0</v>
      </c>
      <c r="E263" s="31">
        <v>9801.0</v>
      </c>
      <c r="F263" s="32">
        <v>-0.0187</v>
      </c>
      <c r="G263" s="28">
        <v>7.0</v>
      </c>
      <c r="H263" s="33" t="s">
        <v>155</v>
      </c>
    </row>
    <row r="264" ht="15.75" customHeight="1">
      <c r="A264" s="22">
        <v>263.0</v>
      </c>
      <c r="B264" s="23">
        <v>45981.0</v>
      </c>
      <c r="C264" s="22" t="s">
        <v>146</v>
      </c>
      <c r="D264" s="24">
        <v>103.0</v>
      </c>
      <c r="E264" s="25">
        <v>8650.0</v>
      </c>
      <c r="F264" s="26">
        <v>0.0119</v>
      </c>
      <c r="G264" s="22">
        <v>7.0</v>
      </c>
      <c r="H264" s="27" t="s">
        <v>156</v>
      </c>
    </row>
    <row r="265" ht="15.75" customHeight="1">
      <c r="A265" s="28">
        <v>264.0</v>
      </c>
      <c r="B265" s="29">
        <v>45982.0</v>
      </c>
      <c r="C265" s="28" t="s">
        <v>146</v>
      </c>
      <c r="D265" s="30">
        <v>837.0</v>
      </c>
      <c r="E265" s="31">
        <v>11441.0</v>
      </c>
      <c r="F265" s="32">
        <v>0.0732</v>
      </c>
      <c r="G265" s="28">
        <v>7.0</v>
      </c>
      <c r="H265" s="33" t="s">
        <v>156</v>
      </c>
    </row>
    <row r="266" ht="15.75" customHeight="1">
      <c r="A266" s="22">
        <v>265.0</v>
      </c>
      <c r="B266" s="23">
        <v>45985.0</v>
      </c>
      <c r="C266" s="22" t="s">
        <v>146</v>
      </c>
      <c r="D266" s="24">
        <v>518.0</v>
      </c>
      <c r="E266" s="25">
        <v>5968.0</v>
      </c>
      <c r="F266" s="26">
        <v>0.0868</v>
      </c>
      <c r="G266" s="22">
        <v>7.0</v>
      </c>
      <c r="H266" s="27" t="s">
        <v>157</v>
      </c>
    </row>
    <row r="267" ht="15.75" customHeight="1">
      <c r="A267" s="28">
        <v>266.0</v>
      </c>
      <c r="B267" s="29">
        <v>45986.0</v>
      </c>
      <c r="C267" s="28" t="s">
        <v>146</v>
      </c>
      <c r="D267" s="30">
        <v>292.0</v>
      </c>
      <c r="E267" s="31">
        <v>9302.0</v>
      </c>
      <c r="F267" s="32">
        <v>0.0314</v>
      </c>
      <c r="G267" s="28">
        <v>10.0</v>
      </c>
      <c r="H267" s="33" t="s">
        <v>147</v>
      </c>
    </row>
    <row r="268" ht="15.75" customHeight="1">
      <c r="A268" s="22">
        <v>267.0</v>
      </c>
      <c r="B268" s="23">
        <v>45987.0</v>
      </c>
      <c r="C268" s="22" t="s">
        <v>146</v>
      </c>
      <c r="D268" s="24">
        <v>832.0</v>
      </c>
      <c r="E268" s="25">
        <v>15494.0</v>
      </c>
      <c r="F268" s="26">
        <v>0.0537</v>
      </c>
      <c r="G268" s="22">
        <v>10.0</v>
      </c>
      <c r="H268" s="27" t="s">
        <v>128</v>
      </c>
    </row>
    <row r="269" ht="15.75" customHeight="1">
      <c r="A269" s="28">
        <v>268.0</v>
      </c>
      <c r="B269" s="29">
        <v>45988.0</v>
      </c>
      <c r="C269" s="28" t="s">
        <v>146</v>
      </c>
      <c r="D269" s="30">
        <v>142.0</v>
      </c>
      <c r="E269" s="31">
        <v>14496.0</v>
      </c>
      <c r="F269" s="32">
        <v>0.0098</v>
      </c>
      <c r="G269" s="28">
        <v>9.0</v>
      </c>
      <c r="H269" s="33" t="s">
        <v>158</v>
      </c>
    </row>
    <row r="270" ht="15.75" customHeight="1">
      <c r="A270" s="22">
        <v>269.0</v>
      </c>
      <c r="B270" s="23">
        <v>45989.0</v>
      </c>
      <c r="C270" s="22" t="s">
        <v>146</v>
      </c>
      <c r="D270" s="24">
        <v>325.0</v>
      </c>
      <c r="E270" s="25">
        <v>13000.0</v>
      </c>
      <c r="F270" s="26">
        <v>0.025</v>
      </c>
      <c r="G270" s="22">
        <v>7.0</v>
      </c>
      <c r="H270" s="27" t="s">
        <v>159</v>
      </c>
    </row>
    <row r="271" ht="15.75" customHeight="1">
      <c r="A271" s="28">
        <v>270.0</v>
      </c>
      <c r="B271" s="29">
        <v>45990.0</v>
      </c>
      <c r="C271" s="28" t="s">
        <v>146</v>
      </c>
      <c r="D271" s="30">
        <v>225.0</v>
      </c>
      <c r="E271" s="31">
        <v>12867.0</v>
      </c>
      <c r="F271" s="32">
        <v>0.0175</v>
      </c>
      <c r="G271" s="28">
        <v>6.0</v>
      </c>
      <c r="H271" s="33" t="s">
        <v>160</v>
      </c>
    </row>
    <row r="272" ht="15.75" customHeight="1">
      <c r="A272" s="22">
        <v>271.0</v>
      </c>
      <c r="B272" s="23">
        <v>45992.0</v>
      </c>
      <c r="C272" s="22" t="s">
        <v>161</v>
      </c>
      <c r="D272" s="34">
        <v>-222.0</v>
      </c>
      <c r="E272" s="25">
        <v>17492.0</v>
      </c>
      <c r="F272" s="26">
        <v>-0.0127</v>
      </c>
      <c r="G272" s="22">
        <v>9.0</v>
      </c>
      <c r="H272" s="27" t="s">
        <v>162</v>
      </c>
    </row>
    <row r="273" ht="15.75" customHeight="1">
      <c r="A273" s="28">
        <v>272.0</v>
      </c>
      <c r="B273" s="29">
        <v>45993.0</v>
      </c>
      <c r="C273" s="28" t="s">
        <v>161</v>
      </c>
      <c r="D273" s="30">
        <v>555.0</v>
      </c>
      <c r="E273" s="31">
        <v>10293.0</v>
      </c>
      <c r="F273" s="32">
        <v>0.0539</v>
      </c>
      <c r="G273" s="28">
        <v>7.0</v>
      </c>
      <c r="H273" s="33" t="s">
        <v>163</v>
      </c>
    </row>
    <row r="274" ht="15.75" customHeight="1">
      <c r="A274" s="22">
        <v>273.0</v>
      </c>
      <c r="B274" s="23">
        <v>45994.0</v>
      </c>
      <c r="C274" s="22" t="s">
        <v>161</v>
      </c>
      <c r="D274" s="24">
        <v>892.0</v>
      </c>
      <c r="E274" s="25">
        <v>11484.0</v>
      </c>
      <c r="F274" s="26">
        <v>0.0777</v>
      </c>
      <c r="G274" s="22">
        <v>8.0</v>
      </c>
      <c r="H274" s="27" t="s">
        <v>164</v>
      </c>
    </row>
    <row r="275" ht="15.75" customHeight="1">
      <c r="A275" s="28">
        <v>274.0</v>
      </c>
      <c r="B275" s="29">
        <v>45995.0</v>
      </c>
      <c r="C275" s="28" t="s">
        <v>161</v>
      </c>
      <c r="D275" s="30">
        <v>24.0</v>
      </c>
      <c r="E275" s="31">
        <v>11772.0</v>
      </c>
      <c r="F275" s="32">
        <v>0.002</v>
      </c>
      <c r="G275" s="28">
        <v>8.0</v>
      </c>
      <c r="H275" s="33" t="s">
        <v>165</v>
      </c>
    </row>
    <row r="276" ht="15.75" customHeight="1">
      <c r="A276" s="22">
        <v>275.0</v>
      </c>
      <c r="B276" s="23">
        <v>45996.0</v>
      </c>
      <c r="C276" s="22" t="s">
        <v>161</v>
      </c>
      <c r="D276" s="24">
        <v>736.0</v>
      </c>
      <c r="E276" s="25">
        <v>10040.0</v>
      </c>
      <c r="F276" s="26">
        <v>0.0733</v>
      </c>
      <c r="G276" s="22">
        <v>16.0</v>
      </c>
      <c r="H276" s="27" t="s">
        <v>166</v>
      </c>
    </row>
    <row r="277" ht="15.75" customHeight="1">
      <c r="A277" s="28">
        <v>276.0</v>
      </c>
      <c r="B277" s="29">
        <v>45997.0</v>
      </c>
      <c r="C277" s="28" t="s">
        <v>161</v>
      </c>
      <c r="D277" s="30">
        <v>840.0</v>
      </c>
      <c r="E277" s="31">
        <v>10776.0</v>
      </c>
      <c r="F277" s="32">
        <v>0.078</v>
      </c>
      <c r="G277" s="28">
        <v>16.0</v>
      </c>
      <c r="H277" s="33" t="s">
        <v>166</v>
      </c>
    </row>
    <row r="278" ht="15.75" customHeight="1">
      <c r="A278" s="22">
        <v>277.0</v>
      </c>
      <c r="B278" s="23">
        <v>46002.0</v>
      </c>
      <c r="C278" s="22" t="s">
        <v>161</v>
      </c>
      <c r="D278" s="24">
        <v>514.0</v>
      </c>
      <c r="E278" s="25">
        <v>13167.0</v>
      </c>
      <c r="F278" s="26">
        <v>0.039</v>
      </c>
      <c r="G278" s="22">
        <v>16.0</v>
      </c>
      <c r="H278" s="27" t="s">
        <v>166</v>
      </c>
    </row>
    <row r="279" ht="15.75" customHeight="1">
      <c r="A279" s="28">
        <v>278.0</v>
      </c>
      <c r="B279" s="29">
        <v>46003.0</v>
      </c>
      <c r="C279" s="28" t="s">
        <v>161</v>
      </c>
      <c r="D279" s="30">
        <v>330.0</v>
      </c>
      <c r="E279" s="31">
        <v>13061.0</v>
      </c>
      <c r="F279" s="32">
        <v>0.0253</v>
      </c>
      <c r="G279" s="28">
        <v>14.0</v>
      </c>
      <c r="H279" s="33" t="s">
        <v>167</v>
      </c>
    </row>
    <row r="280" ht="15.75" customHeight="1">
      <c r="A280" s="22">
        <v>279.0</v>
      </c>
      <c r="B280" s="23">
        <v>46004.0</v>
      </c>
      <c r="C280" s="22" t="s">
        <v>161</v>
      </c>
      <c r="D280" s="24">
        <v>169.0</v>
      </c>
      <c r="E280" s="25">
        <v>13391.0</v>
      </c>
      <c r="F280" s="26">
        <v>0.0126</v>
      </c>
      <c r="G280" s="22">
        <v>14.0</v>
      </c>
      <c r="H280" s="27" t="s">
        <v>167</v>
      </c>
    </row>
    <row r="281" ht="15.75" customHeight="1">
      <c r="A281" s="28">
        <v>280.0</v>
      </c>
      <c r="B281" s="29">
        <v>46005.0</v>
      </c>
      <c r="C281" s="28" t="s">
        <v>161</v>
      </c>
      <c r="D281" s="35">
        <v>-99.0</v>
      </c>
      <c r="E281" s="31">
        <v>13560.0</v>
      </c>
      <c r="F281" s="32">
        <v>-0.0073</v>
      </c>
      <c r="G281" s="28">
        <v>13.0</v>
      </c>
      <c r="H281" s="33" t="s">
        <v>168</v>
      </c>
    </row>
    <row r="282" ht="15.75" customHeight="1">
      <c r="A282" s="22">
        <v>281.0</v>
      </c>
      <c r="B282" s="23">
        <v>46012.0</v>
      </c>
      <c r="C282" s="22" t="s">
        <v>161</v>
      </c>
      <c r="D282" s="34">
        <v>-326.0</v>
      </c>
      <c r="E282" s="25">
        <v>19041.0</v>
      </c>
      <c r="F282" s="26">
        <v>-0.0171</v>
      </c>
      <c r="G282" s="22">
        <v>14.0</v>
      </c>
      <c r="H282" s="27" t="s">
        <v>169</v>
      </c>
    </row>
    <row r="283" ht="15.75" customHeight="1">
      <c r="A283" s="28">
        <v>282.0</v>
      </c>
      <c r="B283" s="29">
        <v>46013.0</v>
      </c>
      <c r="C283" s="28" t="s">
        <v>161</v>
      </c>
      <c r="D283" s="30">
        <v>1022.0</v>
      </c>
      <c r="E283" s="31">
        <v>13506.0</v>
      </c>
      <c r="F283" s="32">
        <v>0.0757</v>
      </c>
      <c r="G283" s="28">
        <v>11.0</v>
      </c>
      <c r="H283" s="33" t="s">
        <v>170</v>
      </c>
    </row>
    <row r="284" ht="15.75" customHeight="1">
      <c r="A284" s="22">
        <v>283.0</v>
      </c>
      <c r="B284" s="23">
        <v>46014.0</v>
      </c>
      <c r="C284" s="22" t="s">
        <v>161</v>
      </c>
      <c r="D284" s="24">
        <v>835.0</v>
      </c>
      <c r="E284" s="25">
        <v>15738.0</v>
      </c>
      <c r="F284" s="26">
        <v>0.0531</v>
      </c>
      <c r="G284" s="22">
        <v>9.0</v>
      </c>
      <c r="H284" s="27" t="s">
        <v>171</v>
      </c>
    </row>
    <row r="285" ht="15.75" customHeight="1">
      <c r="A285" s="28">
        <v>284.0</v>
      </c>
      <c r="B285" s="29">
        <v>46017.0</v>
      </c>
      <c r="C285" s="28" t="s">
        <v>161</v>
      </c>
      <c r="D285" s="30">
        <v>1244.0</v>
      </c>
      <c r="E285" s="31">
        <v>15999.0</v>
      </c>
      <c r="F285" s="32">
        <v>0.0778</v>
      </c>
      <c r="G285" s="28">
        <v>11.0</v>
      </c>
      <c r="H285" s="33" t="s">
        <v>172</v>
      </c>
    </row>
    <row r="286" ht="15.75" customHeight="1">
      <c r="A286" s="22">
        <v>285.0</v>
      </c>
      <c r="B286" s="23">
        <v>46018.0</v>
      </c>
      <c r="C286" s="22" t="s">
        <v>161</v>
      </c>
      <c r="D286" s="24">
        <v>606.0</v>
      </c>
      <c r="E286" s="25">
        <v>17833.0</v>
      </c>
      <c r="F286" s="26">
        <v>0.034</v>
      </c>
      <c r="G286" s="22">
        <v>10.0</v>
      </c>
      <c r="H286" s="27" t="s">
        <v>173</v>
      </c>
    </row>
    <row r="287" ht="15.75" customHeight="1">
      <c r="A287" s="28">
        <v>286.0</v>
      </c>
      <c r="B287" s="29">
        <v>46019.0</v>
      </c>
      <c r="C287" s="28" t="s">
        <v>161</v>
      </c>
      <c r="D287" s="30">
        <v>129.0</v>
      </c>
      <c r="E287" s="31">
        <v>18307.0</v>
      </c>
      <c r="F287" s="32">
        <v>0.007</v>
      </c>
      <c r="G287" s="28">
        <v>10.0</v>
      </c>
      <c r="H287" s="33" t="s">
        <v>174</v>
      </c>
    </row>
    <row r="288" ht="15.75" customHeight="1">
      <c r="A288" s="22">
        <v>287.0</v>
      </c>
      <c r="B288" s="23">
        <v>46020.0</v>
      </c>
      <c r="C288" s="22" t="s">
        <v>161</v>
      </c>
      <c r="D288" s="24">
        <v>981.0</v>
      </c>
      <c r="E288" s="25">
        <v>17404.0</v>
      </c>
      <c r="F288" s="26">
        <v>0.0564</v>
      </c>
      <c r="G288" s="22">
        <v>12.0</v>
      </c>
      <c r="H288" s="27" t="s">
        <v>175</v>
      </c>
    </row>
    <row r="289" ht="15.75" customHeight="1">
      <c r="A289" s="28">
        <v>288.0</v>
      </c>
      <c r="B289" s="29">
        <v>46021.0</v>
      </c>
      <c r="C289" s="28" t="s">
        <v>161</v>
      </c>
      <c r="D289" s="30">
        <v>551.0</v>
      </c>
      <c r="E289" s="31">
        <v>16884.0</v>
      </c>
      <c r="F289" s="32">
        <v>0.0326</v>
      </c>
      <c r="G289" s="28">
        <v>12.0</v>
      </c>
      <c r="H289" s="33" t="s">
        <v>176</v>
      </c>
    </row>
    <row r="290" ht="15.75" customHeight="1">
      <c r="A290" s="22">
        <v>289.0</v>
      </c>
      <c r="B290" s="23">
        <v>46022.0</v>
      </c>
      <c r="C290" s="22" t="s">
        <v>161</v>
      </c>
      <c r="D290" s="36">
        <v>0.0</v>
      </c>
      <c r="E290" s="25">
        <v>8756.0</v>
      </c>
      <c r="F290" s="26">
        <v>0.0</v>
      </c>
      <c r="G290" s="22">
        <v>9.0</v>
      </c>
      <c r="H290" s="27" t="s">
        <v>177</v>
      </c>
    </row>
    <row r="291" ht="15.75" customHeight="1">
      <c r="A291" s="28">
        <v>290.0</v>
      </c>
      <c r="B291" s="29">
        <v>46024.0</v>
      </c>
      <c r="C291" s="28" t="s">
        <v>178</v>
      </c>
      <c r="D291" s="30">
        <v>699.0</v>
      </c>
      <c r="E291" s="31">
        <v>11537.0</v>
      </c>
      <c r="F291" s="32">
        <v>0.0606</v>
      </c>
      <c r="G291" s="28">
        <v>9.0</v>
      </c>
      <c r="H291" s="33" t="s">
        <v>179</v>
      </c>
    </row>
    <row r="292" ht="15.75" customHeight="1">
      <c r="A292" s="22">
        <v>291.0</v>
      </c>
      <c r="B292" s="23">
        <v>46026.0</v>
      </c>
      <c r="C292" s="22" t="s">
        <v>178</v>
      </c>
      <c r="D292" s="24">
        <v>178.0</v>
      </c>
      <c r="E292" s="25">
        <v>13136.0</v>
      </c>
      <c r="F292" s="26">
        <v>0.0136</v>
      </c>
      <c r="G292" s="22">
        <v>8.0</v>
      </c>
      <c r="H292" s="27" t="s">
        <v>180</v>
      </c>
    </row>
    <row r="293" ht="15.75" customHeight="1">
      <c r="A293" s="28">
        <v>292.0</v>
      </c>
      <c r="B293" s="29">
        <v>46027.0</v>
      </c>
      <c r="C293" s="28" t="s">
        <v>178</v>
      </c>
      <c r="D293" s="30">
        <v>413.0</v>
      </c>
      <c r="E293" s="31">
        <v>14531.0</v>
      </c>
      <c r="F293" s="32">
        <v>0.0284</v>
      </c>
      <c r="G293" s="28">
        <v>10.0</v>
      </c>
      <c r="H293" s="33" t="s">
        <v>181</v>
      </c>
    </row>
    <row r="294" ht="15.75" customHeight="1">
      <c r="A294" s="22">
        <v>293.0</v>
      </c>
      <c r="B294" s="23">
        <v>46028.0</v>
      </c>
      <c r="C294" s="22" t="s">
        <v>178</v>
      </c>
      <c r="D294" s="34">
        <v>-117.0</v>
      </c>
      <c r="E294" s="25">
        <v>14944.0</v>
      </c>
      <c r="F294" s="26">
        <v>-0.0078</v>
      </c>
      <c r="G294" s="22">
        <v>10.0</v>
      </c>
      <c r="H294" s="27" t="s">
        <v>181</v>
      </c>
    </row>
    <row r="295" ht="15.75" customHeight="1">
      <c r="A295" s="28">
        <v>294.0</v>
      </c>
      <c r="B295" s="29">
        <v>46030.0</v>
      </c>
      <c r="C295" s="28" t="s">
        <v>178</v>
      </c>
      <c r="D295" s="30">
        <v>3794.0</v>
      </c>
      <c r="E295" s="31">
        <v>14132.0</v>
      </c>
      <c r="F295" s="32">
        <v>0.2685</v>
      </c>
      <c r="G295" s="28">
        <v>14.0</v>
      </c>
      <c r="H295" s="33" t="s">
        <v>182</v>
      </c>
    </row>
    <row r="296" ht="15.75" customHeight="1">
      <c r="A296" s="22">
        <v>295.0</v>
      </c>
      <c r="B296" s="23">
        <v>46031.0</v>
      </c>
      <c r="C296" s="22" t="s">
        <v>178</v>
      </c>
      <c r="D296" s="24">
        <v>109.0</v>
      </c>
      <c r="E296" s="25">
        <v>22803.0</v>
      </c>
      <c r="F296" s="26">
        <v>0.0048</v>
      </c>
      <c r="G296" s="22">
        <v>12.0</v>
      </c>
      <c r="H296" s="27" t="s">
        <v>183</v>
      </c>
    </row>
    <row r="297" ht="15.75" customHeight="1">
      <c r="A297" s="28">
        <v>296.0</v>
      </c>
      <c r="B297" s="29">
        <v>46032.0</v>
      </c>
      <c r="C297" s="28" t="s">
        <v>178</v>
      </c>
      <c r="D297" s="30">
        <v>239.0</v>
      </c>
      <c r="E297" s="31">
        <v>17769.0</v>
      </c>
      <c r="F297" s="32">
        <v>0.0135</v>
      </c>
      <c r="G297" s="28">
        <v>12.0</v>
      </c>
      <c r="H297" s="33" t="s">
        <v>184</v>
      </c>
    </row>
    <row r="298" ht="15.75" customHeight="1">
      <c r="A298" s="22">
        <v>297.0</v>
      </c>
      <c r="B298" s="23">
        <v>46033.0</v>
      </c>
      <c r="C298" s="22" t="s">
        <v>178</v>
      </c>
      <c r="D298" s="24">
        <v>534.0</v>
      </c>
      <c r="E298" s="25">
        <v>14159.0</v>
      </c>
      <c r="F298" s="26">
        <v>0.0377</v>
      </c>
      <c r="G298" s="22">
        <v>10.0</v>
      </c>
      <c r="H298" s="27" t="s">
        <v>185</v>
      </c>
    </row>
    <row r="299" ht="15.75" customHeight="1">
      <c r="A299" s="28">
        <v>298.0</v>
      </c>
      <c r="B299" s="29">
        <v>46034.0</v>
      </c>
      <c r="C299" s="28" t="s">
        <v>178</v>
      </c>
      <c r="D299" s="30">
        <v>1012.0</v>
      </c>
      <c r="E299" s="31">
        <v>15301.0</v>
      </c>
      <c r="F299" s="32">
        <v>0.0661</v>
      </c>
      <c r="G299" s="28">
        <v>10.0</v>
      </c>
      <c r="H299" s="33" t="s">
        <v>185</v>
      </c>
    </row>
    <row r="300" ht="15.75" customHeight="1">
      <c r="A300" s="22">
        <v>299.0</v>
      </c>
      <c r="B300" s="23">
        <v>46035.0</v>
      </c>
      <c r="C300" s="22" t="s">
        <v>178</v>
      </c>
      <c r="D300" s="24">
        <v>235.0</v>
      </c>
      <c r="E300" s="25">
        <v>14127.0</v>
      </c>
      <c r="F300" s="26">
        <v>0.0166</v>
      </c>
      <c r="G300" s="22">
        <v>10.0</v>
      </c>
      <c r="H300" s="27" t="s">
        <v>186</v>
      </c>
    </row>
    <row r="301" ht="15.75" customHeight="1">
      <c r="A301" s="28">
        <v>300.0</v>
      </c>
      <c r="B301" s="29">
        <v>46036.0</v>
      </c>
      <c r="C301" s="28" t="s">
        <v>178</v>
      </c>
      <c r="D301" s="30">
        <v>273.0</v>
      </c>
      <c r="E301" s="31">
        <v>14362.0</v>
      </c>
      <c r="F301" s="32">
        <v>0.019</v>
      </c>
      <c r="G301" s="28">
        <v>10.0</v>
      </c>
      <c r="H301" s="33" t="s">
        <v>186</v>
      </c>
    </row>
    <row r="302" ht="15.75" customHeight="1">
      <c r="A302" s="22">
        <v>301.0</v>
      </c>
      <c r="B302" s="23">
        <v>46037.0</v>
      </c>
      <c r="C302" s="22" t="s">
        <v>178</v>
      </c>
      <c r="D302" s="24">
        <v>1051.0</v>
      </c>
      <c r="E302" s="25">
        <v>14534.0</v>
      </c>
      <c r="F302" s="26">
        <v>0.0723</v>
      </c>
      <c r="G302" s="22">
        <v>10.0</v>
      </c>
      <c r="H302" s="27" t="s">
        <v>187</v>
      </c>
    </row>
    <row r="303" ht="15.75" customHeight="1">
      <c r="A303" s="28">
        <v>302.0</v>
      </c>
      <c r="B303" s="29">
        <v>46038.0</v>
      </c>
      <c r="C303" s="28" t="s">
        <v>178</v>
      </c>
      <c r="D303" s="30">
        <v>2974.0</v>
      </c>
      <c r="E303" s="31">
        <v>16558.0</v>
      </c>
      <c r="F303" s="32">
        <v>0.1796</v>
      </c>
      <c r="G303" s="28">
        <v>8.0</v>
      </c>
      <c r="H303" s="33" t="s">
        <v>188</v>
      </c>
    </row>
    <row r="304" ht="15.75" customHeight="1">
      <c r="A304" s="22">
        <v>303.0</v>
      </c>
      <c r="B304" s="23">
        <v>46039.0</v>
      </c>
      <c r="C304" s="22" t="s">
        <v>178</v>
      </c>
      <c r="D304" s="34">
        <v>-50.0</v>
      </c>
      <c r="E304" s="25">
        <v>23882.0</v>
      </c>
      <c r="F304" s="26">
        <v>-0.0021</v>
      </c>
      <c r="G304" s="22">
        <v>10.0</v>
      </c>
      <c r="H304" s="27" t="s">
        <v>189</v>
      </c>
    </row>
    <row r="305" ht="15.75" customHeight="1">
      <c r="A305" s="28">
        <v>304.0</v>
      </c>
      <c r="B305" s="29">
        <v>46040.0</v>
      </c>
      <c r="C305" s="28" t="s">
        <v>178</v>
      </c>
      <c r="D305" s="30">
        <v>907.0</v>
      </c>
      <c r="E305" s="31">
        <v>14725.0</v>
      </c>
      <c r="F305" s="32">
        <v>0.0616</v>
      </c>
      <c r="G305" s="28">
        <v>9.0</v>
      </c>
      <c r="H305" s="33" t="s">
        <v>190</v>
      </c>
    </row>
    <row r="306" ht="15.75" customHeight="1">
      <c r="A306" s="22">
        <v>305.0</v>
      </c>
      <c r="B306" s="23">
        <v>46043.0</v>
      </c>
      <c r="C306" s="22" t="s">
        <v>178</v>
      </c>
      <c r="D306" s="24">
        <v>661.0</v>
      </c>
      <c r="E306" s="25">
        <v>20132.0</v>
      </c>
      <c r="F306" s="26">
        <v>0.0328</v>
      </c>
      <c r="G306" s="22">
        <v>12.0</v>
      </c>
      <c r="H306" s="27" t="s">
        <v>191</v>
      </c>
    </row>
    <row r="307" ht="15.75" customHeight="1">
      <c r="A307" s="28">
        <v>306.0</v>
      </c>
      <c r="B307" s="29">
        <v>46044.0</v>
      </c>
      <c r="C307" s="28" t="s">
        <v>178</v>
      </c>
      <c r="D307" s="30">
        <v>293.0</v>
      </c>
      <c r="E307" s="31">
        <v>16175.0</v>
      </c>
      <c r="F307" s="32">
        <v>0.0181</v>
      </c>
      <c r="G307" s="28">
        <v>9.0</v>
      </c>
      <c r="H307" s="33" t="s">
        <v>192</v>
      </c>
    </row>
    <row r="308" ht="15.75" customHeight="1">
      <c r="A308" s="22">
        <v>307.0</v>
      </c>
      <c r="B308" s="23">
        <v>46045.0</v>
      </c>
      <c r="C308" s="22" t="s">
        <v>178</v>
      </c>
      <c r="D308" s="24">
        <v>505.0</v>
      </c>
      <c r="E308" s="25">
        <v>16457.0</v>
      </c>
      <c r="F308" s="26">
        <v>0.0307</v>
      </c>
      <c r="G308" s="22">
        <v>9.0</v>
      </c>
      <c r="H308" s="27" t="s">
        <v>193</v>
      </c>
    </row>
    <row r="309" ht="15.75" customHeight="1">
      <c r="A309" s="28">
        <v>308.0</v>
      </c>
      <c r="B309" s="29">
        <v>46046.0</v>
      </c>
      <c r="C309" s="28" t="s">
        <v>178</v>
      </c>
      <c r="D309" s="30">
        <v>794.0</v>
      </c>
      <c r="E309" s="31">
        <v>21812.0</v>
      </c>
      <c r="F309" s="32">
        <v>0.0364</v>
      </c>
      <c r="G309" s="28">
        <v>10.0</v>
      </c>
      <c r="H309" s="33" t="s">
        <v>194</v>
      </c>
    </row>
    <row r="310" ht="15.75" customHeight="1">
      <c r="A310" s="22">
        <v>309.0</v>
      </c>
      <c r="B310" s="23">
        <v>46047.0</v>
      </c>
      <c r="C310" s="22" t="s">
        <v>178</v>
      </c>
      <c r="D310" s="24">
        <v>74.0</v>
      </c>
      <c r="E310" s="25">
        <v>14387.0</v>
      </c>
      <c r="F310" s="26">
        <v>0.0051</v>
      </c>
      <c r="G310" s="22">
        <v>7.0</v>
      </c>
      <c r="H310" s="27" t="s">
        <v>195</v>
      </c>
    </row>
    <row r="311" ht="15.75" customHeight="1">
      <c r="A311" s="28">
        <v>310.0</v>
      </c>
      <c r="B311" s="29">
        <v>46048.0</v>
      </c>
      <c r="C311" s="28" t="s">
        <v>178</v>
      </c>
      <c r="D311" s="35">
        <v>-339.0</v>
      </c>
      <c r="E311" s="31">
        <v>15011.0</v>
      </c>
      <c r="F311" s="32">
        <v>-0.0226</v>
      </c>
      <c r="G311" s="28">
        <v>8.0</v>
      </c>
      <c r="H311" s="33" t="s">
        <v>196</v>
      </c>
    </row>
    <row r="312" ht="15.75" customHeight="1">
      <c r="A312" s="22">
        <v>311.0</v>
      </c>
      <c r="B312" s="23">
        <v>46049.0</v>
      </c>
      <c r="C312" s="22" t="s">
        <v>178</v>
      </c>
      <c r="D312" s="24">
        <v>388.0</v>
      </c>
      <c r="E312" s="25">
        <v>15222.0</v>
      </c>
      <c r="F312" s="26">
        <v>0.0255</v>
      </c>
      <c r="G312" s="22">
        <v>8.0</v>
      </c>
      <c r="H312" s="27" t="s">
        <v>196</v>
      </c>
    </row>
    <row r="313" ht="15.75" customHeight="1">
      <c r="A313" s="28">
        <v>312.0</v>
      </c>
      <c r="B313" s="29">
        <v>46051.0</v>
      </c>
      <c r="C313" s="28" t="s">
        <v>178</v>
      </c>
      <c r="D313" s="30">
        <v>311.0</v>
      </c>
      <c r="E313" s="31">
        <v>18910.0</v>
      </c>
      <c r="F313" s="32">
        <v>0.0164</v>
      </c>
      <c r="G313" s="28">
        <v>10.0</v>
      </c>
      <c r="H313" s="33" t="s">
        <v>197</v>
      </c>
    </row>
    <row r="314" ht="15.75" customHeight="1">
      <c r="A314" s="22">
        <v>313.0</v>
      </c>
      <c r="B314" s="23">
        <v>46052.0</v>
      </c>
      <c r="C314" s="22" t="s">
        <v>178</v>
      </c>
      <c r="D314" s="24">
        <v>498.0</v>
      </c>
      <c r="E314" s="25">
        <v>21429.0</v>
      </c>
      <c r="F314" s="26">
        <v>0.0232</v>
      </c>
      <c r="G314" s="22">
        <v>12.0</v>
      </c>
      <c r="H314" s="27" t="s">
        <v>198</v>
      </c>
    </row>
    <row r="315" ht="15.75" customHeight="1">
      <c r="A315" s="28">
        <v>314.0</v>
      </c>
      <c r="B315" s="29">
        <v>46053.0</v>
      </c>
      <c r="C315" s="28" t="s">
        <v>178</v>
      </c>
      <c r="D315" s="30">
        <v>303.0</v>
      </c>
      <c r="E315" s="31">
        <v>20327.0</v>
      </c>
      <c r="F315" s="32">
        <v>0.0149</v>
      </c>
      <c r="G315" s="28">
        <v>11.0</v>
      </c>
      <c r="H315" s="33" t="s">
        <v>199</v>
      </c>
    </row>
    <row r="316" ht="15.75" customHeight="1">
      <c r="A316" s="22">
        <v>315.0</v>
      </c>
      <c r="B316" s="23">
        <v>46054.0</v>
      </c>
      <c r="C316" s="22" t="s">
        <v>200</v>
      </c>
      <c r="D316" s="24">
        <v>538.0</v>
      </c>
      <c r="E316" s="25">
        <v>21690.0</v>
      </c>
      <c r="F316" s="26">
        <v>0.0248</v>
      </c>
      <c r="G316" s="22">
        <v>12.0</v>
      </c>
      <c r="H316" s="27" t="s">
        <v>201</v>
      </c>
    </row>
    <row r="317" ht="15.75" customHeight="1">
      <c r="A317" s="28">
        <v>316.0</v>
      </c>
      <c r="B317" s="29">
        <v>46055.0</v>
      </c>
      <c r="C317" s="28" t="s">
        <v>200</v>
      </c>
      <c r="D317" s="30">
        <v>615.0</v>
      </c>
      <c r="E317" s="31">
        <v>17354.0</v>
      </c>
      <c r="F317" s="32">
        <v>0.0354</v>
      </c>
      <c r="G317" s="28">
        <v>7.0</v>
      </c>
      <c r="H317" s="33" t="s">
        <v>202</v>
      </c>
    </row>
    <row r="318" ht="15.75" customHeight="1">
      <c r="A318" s="22">
        <v>317.0</v>
      </c>
      <c r="B318" s="23">
        <v>46057.0</v>
      </c>
      <c r="C318" s="22" t="s">
        <v>200</v>
      </c>
      <c r="D318" s="24">
        <v>1924.0</v>
      </c>
      <c r="E318" s="25">
        <v>14678.0</v>
      </c>
      <c r="F318" s="26">
        <v>0.1311</v>
      </c>
      <c r="G318" s="22">
        <v>8.0</v>
      </c>
      <c r="H318" s="27" t="s">
        <v>203</v>
      </c>
    </row>
    <row r="319" ht="15.75" customHeight="1">
      <c r="A319" s="28">
        <v>318.0</v>
      </c>
      <c r="B319" s="29">
        <v>46058.0</v>
      </c>
      <c r="C319" s="28" t="s">
        <v>200</v>
      </c>
      <c r="D319" s="35">
        <v>-440.0</v>
      </c>
      <c r="E319" s="31">
        <v>11504.0</v>
      </c>
      <c r="F319" s="32">
        <v>-0.0382</v>
      </c>
      <c r="G319" s="28">
        <v>7.0</v>
      </c>
      <c r="H319" s="33" t="s">
        <v>204</v>
      </c>
    </row>
    <row r="320" ht="15.75" customHeight="1">
      <c r="A320" s="22">
        <v>319.0</v>
      </c>
      <c r="B320" s="23">
        <v>46060.0</v>
      </c>
      <c r="C320" s="22" t="s">
        <v>200</v>
      </c>
      <c r="D320" s="24">
        <v>277.0</v>
      </c>
      <c r="E320" s="25">
        <v>13144.0</v>
      </c>
      <c r="F320" s="26">
        <v>0.0211</v>
      </c>
      <c r="G320" s="22">
        <v>7.0</v>
      </c>
      <c r="H320" s="27" t="s">
        <v>205</v>
      </c>
    </row>
    <row r="321" ht="15.75" customHeight="1">
      <c r="A321" s="28">
        <v>320.0</v>
      </c>
      <c r="B321" s="29">
        <v>46061.0</v>
      </c>
      <c r="C321" s="28" t="s">
        <v>200</v>
      </c>
      <c r="D321" s="35">
        <v>-217.0</v>
      </c>
      <c r="E321" s="31">
        <v>15625.0</v>
      </c>
      <c r="F321" s="32">
        <v>-0.0139</v>
      </c>
      <c r="G321" s="28">
        <v>7.0</v>
      </c>
      <c r="H321" s="33" t="s">
        <v>206</v>
      </c>
    </row>
    <row r="322" ht="15.75" customHeight="1">
      <c r="A322" s="22">
        <v>321.0</v>
      </c>
      <c r="B322" s="23">
        <v>46062.0</v>
      </c>
      <c r="C322" s="22" t="s">
        <v>200</v>
      </c>
      <c r="D322" s="24">
        <v>873.0</v>
      </c>
      <c r="E322" s="25">
        <v>15827.0</v>
      </c>
      <c r="F322" s="26">
        <v>0.0552</v>
      </c>
      <c r="G322" s="22">
        <v>8.0</v>
      </c>
      <c r="H322" s="27" t="s">
        <v>207</v>
      </c>
    </row>
    <row r="323" ht="15.75" customHeight="1">
      <c r="A323" s="28">
        <v>322.0</v>
      </c>
      <c r="B323" s="29">
        <v>46063.0</v>
      </c>
      <c r="C323" s="28" t="s">
        <v>200</v>
      </c>
      <c r="D323" s="30">
        <v>113.0</v>
      </c>
      <c r="E323" s="31">
        <v>16700.0</v>
      </c>
      <c r="F323" s="32">
        <v>0.0068</v>
      </c>
      <c r="G323" s="28">
        <v>8.0</v>
      </c>
      <c r="H323" s="33" t="s">
        <v>207</v>
      </c>
    </row>
    <row r="324" ht="15.75" customHeight="1">
      <c r="A324" s="22">
        <v>323.0</v>
      </c>
      <c r="B324" s="23">
        <v>46064.0</v>
      </c>
      <c r="C324" s="22" t="s">
        <v>200</v>
      </c>
      <c r="D324" s="24">
        <v>202.0</v>
      </c>
      <c r="E324" s="25">
        <v>7071.0</v>
      </c>
      <c r="F324" s="26">
        <v>0.0286</v>
      </c>
      <c r="G324" s="22">
        <v>5.0</v>
      </c>
      <c r="H324" s="27" t="s">
        <v>208</v>
      </c>
    </row>
    <row r="325" ht="15.75" customHeight="1">
      <c r="A325" s="28">
        <v>324.0</v>
      </c>
      <c r="B325" s="29">
        <v>46067.0</v>
      </c>
      <c r="C325" s="28" t="s">
        <v>200</v>
      </c>
      <c r="D325" s="30">
        <v>55.0</v>
      </c>
      <c r="E325" s="31">
        <v>12135.0</v>
      </c>
      <c r="F325" s="32">
        <v>0.0045</v>
      </c>
      <c r="G325" s="28">
        <v>8.0</v>
      </c>
      <c r="H325" s="33" t="s">
        <v>209</v>
      </c>
    </row>
    <row r="326" ht="15.75" customHeight="1">
      <c r="A326" s="22">
        <v>325.0</v>
      </c>
      <c r="B326" s="23">
        <v>46068.0</v>
      </c>
      <c r="C326" s="22" t="s">
        <v>200</v>
      </c>
      <c r="D326" s="24">
        <v>422.0</v>
      </c>
      <c r="E326" s="25">
        <v>14190.0</v>
      </c>
      <c r="F326" s="26">
        <v>0.0297</v>
      </c>
      <c r="G326" s="22">
        <v>8.0</v>
      </c>
      <c r="H326" s="27" t="s">
        <v>210</v>
      </c>
    </row>
    <row r="327" ht="15.75" customHeight="1">
      <c r="A327" s="28">
        <v>326.0</v>
      </c>
      <c r="B327" s="29">
        <v>46069.0</v>
      </c>
      <c r="C327" s="28" t="s">
        <v>200</v>
      </c>
      <c r="D327" s="30">
        <v>243.0</v>
      </c>
      <c r="E327" s="31">
        <v>14612.0</v>
      </c>
      <c r="F327" s="32">
        <v>0.0166</v>
      </c>
      <c r="G327" s="28">
        <v>8.0</v>
      </c>
      <c r="H327" s="33" t="s">
        <v>210</v>
      </c>
    </row>
    <row r="328" ht="15.75" customHeight="1">
      <c r="A328" s="22">
        <v>327.0</v>
      </c>
      <c r="B328" s="23">
        <v>46070.0</v>
      </c>
      <c r="C328" s="22" t="s">
        <v>200</v>
      </c>
      <c r="D328" s="24">
        <v>380.0</v>
      </c>
      <c r="E328" s="25">
        <v>14855.0</v>
      </c>
      <c r="F328" s="26">
        <v>0.0256</v>
      </c>
      <c r="G328" s="22">
        <v>8.0</v>
      </c>
      <c r="H328" s="27" t="s">
        <v>210</v>
      </c>
    </row>
    <row r="329" ht="15.75" customHeight="1">
      <c r="A329" s="28">
        <v>328.0</v>
      </c>
      <c r="B329" s="29">
        <v>46072.0</v>
      </c>
      <c r="C329" s="28" t="s">
        <v>200</v>
      </c>
      <c r="D329" s="30">
        <v>649.0</v>
      </c>
      <c r="E329" s="31">
        <v>20085.0</v>
      </c>
      <c r="F329" s="32">
        <v>0.0323</v>
      </c>
      <c r="G329" s="28">
        <v>12.0</v>
      </c>
      <c r="H329" s="33" t="s">
        <v>211</v>
      </c>
    </row>
    <row r="330" ht="15.75" customHeight="1">
      <c r="A330" s="22">
        <v>329.0</v>
      </c>
      <c r="B330" s="23">
        <v>46073.0</v>
      </c>
      <c r="C330" s="22" t="s">
        <v>200</v>
      </c>
      <c r="D330" s="24">
        <v>405.0</v>
      </c>
      <c r="E330" s="25">
        <v>22876.0</v>
      </c>
      <c r="F330" s="26">
        <v>0.0177</v>
      </c>
      <c r="G330" s="22">
        <v>10.0</v>
      </c>
      <c r="H330" s="27" t="s">
        <v>212</v>
      </c>
    </row>
    <row r="331" ht="15.75" customHeight="1">
      <c r="A331" s="28">
        <v>330.0</v>
      </c>
      <c r="B331" s="29">
        <v>46074.0</v>
      </c>
      <c r="C331" s="28" t="s">
        <v>200</v>
      </c>
      <c r="D331" s="30">
        <v>210.0</v>
      </c>
      <c r="E331" s="31">
        <v>14698.0</v>
      </c>
      <c r="F331" s="32">
        <v>0.0143</v>
      </c>
      <c r="G331" s="28">
        <v>14.0</v>
      </c>
      <c r="H331" s="33" t="s">
        <v>213</v>
      </c>
    </row>
    <row r="332" ht="15.75" customHeight="1">
      <c r="A332" s="22">
        <v>331.0</v>
      </c>
      <c r="B332" s="23">
        <v>46075.0</v>
      </c>
      <c r="C332" s="22" t="s">
        <v>200</v>
      </c>
      <c r="D332" s="24">
        <v>19.0</v>
      </c>
      <c r="E332" s="25">
        <v>18665.0</v>
      </c>
      <c r="F332" s="26">
        <v>0.001</v>
      </c>
      <c r="G332" s="22">
        <v>13.0</v>
      </c>
      <c r="H332" s="27" t="s">
        <v>214</v>
      </c>
    </row>
    <row r="333" ht="15.75" customHeight="1">
      <c r="A333" s="28">
        <v>332.0</v>
      </c>
      <c r="B333" s="29">
        <v>46079.0</v>
      </c>
      <c r="C333" s="28" t="s">
        <v>200</v>
      </c>
      <c r="D333" s="35">
        <v>-1430.0</v>
      </c>
      <c r="E333" s="31">
        <v>20377.0</v>
      </c>
      <c r="F333" s="32">
        <v>-0.0702</v>
      </c>
      <c r="G333" s="28">
        <v>12.0</v>
      </c>
      <c r="H333" s="33" t="s">
        <v>215</v>
      </c>
    </row>
    <row r="334" ht="15.75" customHeight="1">
      <c r="A334" s="22">
        <v>333.0</v>
      </c>
      <c r="B334" s="23">
        <v>46081.0</v>
      </c>
      <c r="C334" s="22" t="s">
        <v>200</v>
      </c>
      <c r="D334" s="34">
        <v>-955.0</v>
      </c>
      <c r="E334" s="25">
        <v>17447.0</v>
      </c>
      <c r="F334" s="26">
        <v>-0.0547</v>
      </c>
      <c r="G334" s="22">
        <v>11.0</v>
      </c>
      <c r="H334" s="27" t="s">
        <v>216</v>
      </c>
    </row>
    <row r="335" ht="15.75" customHeight="1">
      <c r="A335" s="28">
        <v>334.0</v>
      </c>
      <c r="B335" s="29">
        <v>46083.0</v>
      </c>
      <c r="C335" s="28" t="s">
        <v>217</v>
      </c>
      <c r="D335" s="30">
        <v>417.0</v>
      </c>
      <c r="E335" s="31">
        <v>12694.0</v>
      </c>
      <c r="F335" s="32">
        <v>0.0329</v>
      </c>
      <c r="G335" s="28">
        <v>10.0</v>
      </c>
      <c r="H335" s="33" t="s">
        <v>218</v>
      </c>
    </row>
    <row r="336" ht="15.75" customHeight="1">
      <c r="A336" s="22">
        <v>335.0</v>
      </c>
      <c r="B336" s="23">
        <v>46084.0</v>
      </c>
      <c r="C336" s="22" t="s">
        <v>217</v>
      </c>
      <c r="D336" s="24">
        <v>25.0</v>
      </c>
      <c r="E336" s="25">
        <v>14701.0</v>
      </c>
      <c r="F336" s="26">
        <v>0.0017</v>
      </c>
      <c r="G336" s="22">
        <v>15.0</v>
      </c>
      <c r="H336" s="27" t="s">
        <v>219</v>
      </c>
    </row>
    <row r="337" ht="15.75" customHeight="1">
      <c r="A337" s="28">
        <v>336.0</v>
      </c>
      <c r="B337" s="29">
        <v>46085.0</v>
      </c>
      <c r="C337" s="28" t="s">
        <v>217</v>
      </c>
      <c r="D337" s="30">
        <v>842.0</v>
      </c>
      <c r="E337" s="31">
        <v>15626.0</v>
      </c>
      <c r="F337" s="32">
        <v>0.0539</v>
      </c>
      <c r="G337" s="28">
        <v>16.0</v>
      </c>
      <c r="H337" s="33" t="s">
        <v>220</v>
      </c>
    </row>
    <row r="338" ht="15.75" customHeight="1">
      <c r="A338" s="22">
        <v>337.0</v>
      </c>
      <c r="B338" s="23">
        <v>46087.0</v>
      </c>
      <c r="C338" s="22" t="s">
        <v>217</v>
      </c>
      <c r="D338" s="24">
        <v>21.0</v>
      </c>
      <c r="E338" s="25">
        <v>16668.0</v>
      </c>
      <c r="F338" s="26">
        <v>0.0013</v>
      </c>
      <c r="G338" s="22">
        <v>19.0</v>
      </c>
      <c r="H338" s="27" t="s">
        <v>221</v>
      </c>
    </row>
    <row r="339" ht="15.75" customHeight="1">
      <c r="A339" s="28">
        <v>338.0</v>
      </c>
      <c r="B339" s="29">
        <v>46088.0</v>
      </c>
      <c r="C339" s="28" t="s">
        <v>217</v>
      </c>
      <c r="D339" s="30">
        <v>178.0</v>
      </c>
      <c r="E339" s="31">
        <v>14889.0</v>
      </c>
      <c r="F339" s="32">
        <v>0.012</v>
      </c>
      <c r="G339" s="28">
        <v>19.0</v>
      </c>
      <c r="H339" s="33" t="s">
        <v>221</v>
      </c>
    </row>
    <row r="340" ht="15.75" customHeight="1">
      <c r="A340" s="22">
        <v>339.0</v>
      </c>
      <c r="B340" s="23">
        <v>46089.0</v>
      </c>
      <c r="C340" s="22" t="s">
        <v>217</v>
      </c>
      <c r="D340" s="34">
        <v>-385.0</v>
      </c>
      <c r="E340" s="25">
        <v>14781.0</v>
      </c>
      <c r="F340" s="26">
        <v>-0.026</v>
      </c>
      <c r="G340" s="22">
        <v>19.0</v>
      </c>
      <c r="H340" s="27" t="s">
        <v>221</v>
      </c>
    </row>
    <row r="341" ht="15.75" customHeight="1">
      <c r="A341" s="28">
        <v>340.0</v>
      </c>
      <c r="B341" s="29">
        <v>46093.0</v>
      </c>
      <c r="C341" s="28" t="s">
        <v>217</v>
      </c>
      <c r="D341" s="30">
        <v>862.0</v>
      </c>
      <c r="E341" s="31">
        <v>16952.0</v>
      </c>
      <c r="F341" s="32">
        <v>0.0508</v>
      </c>
      <c r="G341" s="28">
        <v>19.0</v>
      </c>
      <c r="H341" s="33" t="s">
        <v>222</v>
      </c>
    </row>
    <row r="342" ht="15.75" customHeight="1">
      <c r="A342" s="22">
        <v>341.0</v>
      </c>
      <c r="B342" s="23">
        <v>46094.0</v>
      </c>
      <c r="C342" s="22" t="s">
        <v>217</v>
      </c>
      <c r="D342" s="24">
        <v>615.0</v>
      </c>
      <c r="E342" s="25">
        <v>19651.0</v>
      </c>
      <c r="F342" s="26">
        <v>0.0313</v>
      </c>
      <c r="G342" s="22">
        <v>18.0</v>
      </c>
      <c r="H342" s="27" t="s">
        <v>223</v>
      </c>
    </row>
    <row r="343" ht="15.75" customHeight="1">
      <c r="A343" s="28">
        <v>342.0</v>
      </c>
      <c r="B343" s="29">
        <v>46097.0</v>
      </c>
      <c r="C343" s="28" t="s">
        <v>217</v>
      </c>
      <c r="D343" s="35">
        <v>-135.0</v>
      </c>
      <c r="E343" s="31">
        <v>18326.0</v>
      </c>
      <c r="F343" s="32">
        <v>-0.0074</v>
      </c>
      <c r="G343" s="28">
        <v>19.0</v>
      </c>
      <c r="H343" s="33" t="s">
        <v>224</v>
      </c>
    </row>
    <row r="344" ht="15.75" customHeight="1">
      <c r="A344" s="22">
        <v>343.0</v>
      </c>
      <c r="B344" s="23">
        <v>46098.0</v>
      </c>
      <c r="C344" s="22" t="s">
        <v>217</v>
      </c>
      <c r="D344" s="34">
        <v>-547.0</v>
      </c>
      <c r="E344" s="25">
        <v>16677.0</v>
      </c>
      <c r="F344" s="26">
        <v>-0.0328</v>
      </c>
      <c r="G344" s="22">
        <v>18.0</v>
      </c>
      <c r="H344" s="27" t="s">
        <v>225</v>
      </c>
    </row>
    <row r="345" ht="15.75" customHeight="1">
      <c r="A345" s="28">
        <v>344.0</v>
      </c>
      <c r="B345" s="29">
        <v>46099.0</v>
      </c>
      <c r="C345" s="28" t="s">
        <v>217</v>
      </c>
      <c r="D345" s="30">
        <v>944.0</v>
      </c>
      <c r="E345" s="31">
        <v>17528.0</v>
      </c>
      <c r="F345" s="32">
        <v>0.0539</v>
      </c>
      <c r="G345" s="28">
        <v>18.0</v>
      </c>
      <c r="H345" s="33" t="s">
        <v>226</v>
      </c>
    </row>
    <row r="346" ht="15.75" customHeight="1">
      <c r="A346" s="22">
        <v>345.0</v>
      </c>
      <c r="B346" s="23">
        <v>46100.0</v>
      </c>
      <c r="C346" s="22" t="s">
        <v>217</v>
      </c>
      <c r="D346" s="34">
        <v>-1963.0</v>
      </c>
      <c r="E346" s="25">
        <v>15191.0</v>
      </c>
      <c r="F346" s="26">
        <v>-0.1292</v>
      </c>
      <c r="G346" s="22">
        <v>17.0</v>
      </c>
      <c r="H346" s="27" t="s">
        <v>227</v>
      </c>
    </row>
    <row r="347" ht="15.75" customHeight="1">
      <c r="A347" s="28">
        <v>346.0</v>
      </c>
      <c r="B347" s="29">
        <v>46101.0</v>
      </c>
      <c r="C347" s="28" t="s">
        <v>217</v>
      </c>
      <c r="D347" s="30">
        <v>101.0</v>
      </c>
      <c r="E347" s="31">
        <v>13960.0</v>
      </c>
      <c r="F347" s="32">
        <v>0.0072</v>
      </c>
      <c r="G347" s="28">
        <v>16.0</v>
      </c>
      <c r="H347" s="33" t="s">
        <v>228</v>
      </c>
    </row>
    <row r="348" ht="15.75" customHeight="1">
      <c r="A348" s="22">
        <v>347.0</v>
      </c>
      <c r="B348" s="23">
        <v>46103.0</v>
      </c>
      <c r="C348" s="22" t="s">
        <v>217</v>
      </c>
      <c r="D348" s="24">
        <v>140.0</v>
      </c>
      <c r="E348" s="25">
        <v>12041.0</v>
      </c>
      <c r="F348" s="26">
        <v>0.0116</v>
      </c>
      <c r="G348" s="22">
        <v>15.0</v>
      </c>
      <c r="H348" s="27" t="s">
        <v>229</v>
      </c>
    </row>
    <row r="349" ht="15.75" customHeight="1">
      <c r="A349" s="28">
        <v>348.0</v>
      </c>
      <c r="B349" s="29">
        <v>46104.0</v>
      </c>
      <c r="C349" s="28" t="s">
        <v>217</v>
      </c>
      <c r="D349" s="30">
        <v>478.0</v>
      </c>
      <c r="E349" s="31">
        <v>13403.0</v>
      </c>
      <c r="F349" s="32">
        <v>0.0357</v>
      </c>
      <c r="G349" s="28">
        <v>14.0</v>
      </c>
      <c r="H349" s="33" t="s">
        <v>230</v>
      </c>
    </row>
    <row r="350" ht="15.75" customHeight="1">
      <c r="A350" s="22">
        <v>349.0</v>
      </c>
      <c r="B350" s="23">
        <v>46105.0</v>
      </c>
      <c r="C350" s="22" t="s">
        <v>217</v>
      </c>
      <c r="D350" s="24">
        <v>1445.0</v>
      </c>
      <c r="E350" s="25">
        <v>14798.0</v>
      </c>
      <c r="F350" s="26">
        <v>0.0976</v>
      </c>
      <c r="G350" s="22">
        <v>15.0</v>
      </c>
      <c r="H350" s="27" t="s">
        <v>231</v>
      </c>
    </row>
    <row r="351" ht="15.75" customHeight="1">
      <c r="A351" s="28">
        <v>350.0</v>
      </c>
      <c r="B351" s="29">
        <v>46106.0</v>
      </c>
      <c r="C351" s="28" t="s">
        <v>217</v>
      </c>
      <c r="D351" s="30">
        <v>54.0</v>
      </c>
      <c r="E351" s="31">
        <v>7949.0</v>
      </c>
      <c r="F351" s="32">
        <v>0.0068</v>
      </c>
      <c r="G351" s="28">
        <v>9.0</v>
      </c>
      <c r="H351" s="33" t="s">
        <v>232</v>
      </c>
    </row>
    <row r="352" ht="15.75" customHeight="1">
      <c r="A352" s="22">
        <v>351.0</v>
      </c>
      <c r="B352" s="23">
        <v>46106.0</v>
      </c>
      <c r="C352" s="22" t="s">
        <v>217</v>
      </c>
      <c r="D352" s="24">
        <v>206.0</v>
      </c>
      <c r="E352" s="25">
        <v>7949.0</v>
      </c>
      <c r="F352" s="26">
        <v>0.0259</v>
      </c>
      <c r="G352" s="22">
        <v>9.0</v>
      </c>
      <c r="H352" s="27" t="s">
        <v>232</v>
      </c>
    </row>
    <row r="353" ht="15.75" customHeight="1">
      <c r="A353" s="28">
        <v>352.0</v>
      </c>
      <c r="B353" s="29">
        <v>46112.0</v>
      </c>
      <c r="C353" s="28" t="s">
        <v>217</v>
      </c>
      <c r="D353" s="30">
        <v>1178.0</v>
      </c>
      <c r="E353" s="31">
        <v>11654.0</v>
      </c>
      <c r="F353" s="32">
        <v>0.1011</v>
      </c>
      <c r="G353" s="28">
        <v>16.0</v>
      </c>
      <c r="H353" s="33" t="s">
        <v>233</v>
      </c>
    </row>
    <row r="354" ht="15.75" customHeight="1">
      <c r="A354" s="22">
        <v>353.0</v>
      </c>
      <c r="B354" s="23">
        <v>46114.0</v>
      </c>
      <c r="C354" s="22" t="s">
        <v>234</v>
      </c>
      <c r="D354" s="24">
        <v>21.0</v>
      </c>
      <c r="E354" s="25">
        <v>15132.0</v>
      </c>
      <c r="F354" s="26">
        <v>0.0014</v>
      </c>
      <c r="G354" s="22">
        <v>19.0</v>
      </c>
      <c r="H354" s="27" t="s">
        <v>235</v>
      </c>
    </row>
    <row r="355" ht="15.75" customHeight="1">
      <c r="A355" s="28">
        <v>354.0</v>
      </c>
      <c r="B355" s="29">
        <v>46118.0</v>
      </c>
      <c r="C355" s="28" t="s">
        <v>234</v>
      </c>
      <c r="D355" s="35">
        <v>-187.0</v>
      </c>
      <c r="E355" s="31">
        <v>13817.0</v>
      </c>
      <c r="F355" s="32">
        <v>-0.0135</v>
      </c>
      <c r="G355" s="28">
        <v>19.0</v>
      </c>
      <c r="H355" s="33" t="s">
        <v>235</v>
      </c>
    </row>
    <row r="356" ht="15.75" customHeight="1">
      <c r="A356" s="22">
        <v>355.0</v>
      </c>
      <c r="B356" s="23">
        <v>46120.0</v>
      </c>
      <c r="C356" s="22" t="s">
        <v>234</v>
      </c>
      <c r="D356" s="24">
        <v>587.0</v>
      </c>
      <c r="E356" s="25">
        <v>17270.0</v>
      </c>
      <c r="F356" s="26">
        <v>0.034</v>
      </c>
      <c r="G356" s="22">
        <v>21.0</v>
      </c>
      <c r="H356" s="27" t="s">
        <v>236</v>
      </c>
    </row>
    <row r="357" ht="15.75" customHeight="1">
      <c r="A357" s="28">
        <v>356.0</v>
      </c>
      <c r="B357" s="29">
        <v>46121.0</v>
      </c>
      <c r="C357" s="28" t="s">
        <v>234</v>
      </c>
      <c r="D357" s="30">
        <v>835.0</v>
      </c>
      <c r="E357" s="31">
        <v>14681.0</v>
      </c>
      <c r="F357" s="32">
        <v>0.0569</v>
      </c>
      <c r="G357" s="28">
        <v>19.0</v>
      </c>
      <c r="H357" s="33" t="s">
        <v>237</v>
      </c>
    </row>
    <row r="358" ht="15.75" customHeight="1">
      <c r="A358" s="22">
        <v>357.0</v>
      </c>
      <c r="B358" s="23">
        <v>46122.0</v>
      </c>
      <c r="C358" s="22" t="s">
        <v>234</v>
      </c>
      <c r="D358" s="24">
        <v>71.0</v>
      </c>
      <c r="E358" s="25">
        <v>14700.0</v>
      </c>
      <c r="F358" s="26">
        <v>0.0048</v>
      </c>
      <c r="G358" s="22">
        <v>21.0</v>
      </c>
      <c r="H358" s="27" t="s">
        <v>238</v>
      </c>
    </row>
    <row r="359" ht="15.75" customHeight="1">
      <c r="A359" s="28">
        <v>358.0</v>
      </c>
      <c r="B359" s="29">
        <v>46123.0</v>
      </c>
      <c r="C359" s="28" t="s">
        <v>234</v>
      </c>
      <c r="D359" s="30">
        <v>273.0</v>
      </c>
      <c r="E359" s="31">
        <v>15971.0</v>
      </c>
      <c r="F359" s="32">
        <v>0.0171</v>
      </c>
      <c r="G359" s="28">
        <v>21.0</v>
      </c>
      <c r="H359" s="33" t="s">
        <v>238</v>
      </c>
    </row>
    <row r="360" ht="15.75" customHeight="1">
      <c r="A360" s="22">
        <v>359.0</v>
      </c>
      <c r="B360" s="23">
        <v>46124.0</v>
      </c>
      <c r="C360" s="22" t="s">
        <v>234</v>
      </c>
      <c r="D360" s="34">
        <v>-24.0</v>
      </c>
      <c r="E360" s="25">
        <v>16244.0</v>
      </c>
      <c r="F360" s="26">
        <v>-0.0015</v>
      </c>
      <c r="G360" s="22">
        <v>21.0</v>
      </c>
      <c r="H360" s="27" t="s">
        <v>238</v>
      </c>
    </row>
    <row r="361" ht="15.75" customHeight="1">
      <c r="A361" s="28">
        <v>360.0</v>
      </c>
      <c r="B361" s="29">
        <v>46125.0</v>
      </c>
      <c r="C361" s="28" t="s">
        <v>234</v>
      </c>
      <c r="D361" s="35">
        <v>-8.0</v>
      </c>
      <c r="E361" s="31">
        <v>17733.0</v>
      </c>
      <c r="F361" s="32">
        <v>-5.0E-4</v>
      </c>
      <c r="G361" s="28">
        <v>22.0</v>
      </c>
      <c r="H361" s="33" t="s">
        <v>239</v>
      </c>
    </row>
    <row r="362" ht="15.75" customHeight="1">
      <c r="A362" s="22">
        <v>361.0</v>
      </c>
      <c r="B362" s="23">
        <v>46128.0</v>
      </c>
      <c r="C362" s="22" t="s">
        <v>234</v>
      </c>
      <c r="D362" s="24">
        <v>487.0</v>
      </c>
      <c r="E362" s="25">
        <v>15956.0</v>
      </c>
      <c r="F362" s="26">
        <v>0.0305</v>
      </c>
      <c r="G362" s="22">
        <v>22.0</v>
      </c>
      <c r="H362" s="27" t="s">
        <v>240</v>
      </c>
    </row>
    <row r="363" ht="15.75" customHeight="1">
      <c r="A363" s="28">
        <v>362.0</v>
      </c>
      <c r="B363" s="29">
        <v>46131.0</v>
      </c>
      <c r="C363" s="28" t="s">
        <v>234</v>
      </c>
      <c r="D363" s="30">
        <v>182.0</v>
      </c>
      <c r="E363" s="31">
        <v>16957.0</v>
      </c>
      <c r="F363" s="32">
        <v>0.0107</v>
      </c>
      <c r="G363" s="28">
        <v>23.0</v>
      </c>
      <c r="H363" s="33" t="s">
        <v>241</v>
      </c>
    </row>
    <row r="364" ht="15.75" customHeight="1">
      <c r="A364" s="22">
        <v>363.0</v>
      </c>
      <c r="B364" s="23">
        <v>46132.0</v>
      </c>
      <c r="C364" s="22" t="s">
        <v>234</v>
      </c>
      <c r="D364" s="34">
        <v>-188.0</v>
      </c>
      <c r="E364" s="25">
        <v>17569.0</v>
      </c>
      <c r="F364" s="26">
        <v>-0.0107</v>
      </c>
      <c r="G364" s="22">
        <v>23.0</v>
      </c>
      <c r="H364" s="27" t="s">
        <v>241</v>
      </c>
    </row>
    <row r="365" ht="15.75" customHeight="1">
      <c r="A365" s="28">
        <v>364.0</v>
      </c>
      <c r="B365" s="29">
        <v>46134.0</v>
      </c>
      <c r="C365" s="28" t="s">
        <v>234</v>
      </c>
      <c r="D365" s="30">
        <v>478.0</v>
      </c>
      <c r="E365" s="31">
        <v>18136.0</v>
      </c>
      <c r="F365" s="32">
        <v>0.0264</v>
      </c>
      <c r="G365" s="28">
        <v>21.0</v>
      </c>
      <c r="H365" s="33" t="s">
        <v>242</v>
      </c>
    </row>
    <row r="366" ht="15.75" customHeight="1">
      <c r="A366" s="22">
        <v>365.0</v>
      </c>
      <c r="B366" s="23">
        <v>46136.0</v>
      </c>
      <c r="C366" s="22" t="s">
        <v>234</v>
      </c>
      <c r="D366" s="24">
        <v>380.0</v>
      </c>
      <c r="E366" s="25">
        <v>11917.0</v>
      </c>
      <c r="F366" s="26">
        <v>0.0319</v>
      </c>
      <c r="G366" s="22">
        <v>18.0</v>
      </c>
      <c r="H366" s="27" t="s">
        <v>243</v>
      </c>
    </row>
    <row r="367" ht="15.75" customHeight="1">
      <c r="A367" s="28">
        <v>366.0</v>
      </c>
      <c r="B367" s="29">
        <v>46137.0</v>
      </c>
      <c r="C367" s="28" t="s">
        <v>234</v>
      </c>
      <c r="D367" s="30">
        <v>1190.0</v>
      </c>
      <c r="E367" s="31">
        <v>13497.0</v>
      </c>
      <c r="F367" s="32">
        <v>0.0882</v>
      </c>
      <c r="G367" s="28">
        <v>20.0</v>
      </c>
      <c r="H367" s="33" t="s">
        <v>244</v>
      </c>
    </row>
    <row r="368" ht="15.75" customHeight="1">
      <c r="A368" s="22">
        <v>367.0</v>
      </c>
      <c r="B368" s="23">
        <v>46139.0</v>
      </c>
      <c r="C368" s="22" t="s">
        <v>234</v>
      </c>
      <c r="D368" s="24">
        <v>1032.0</v>
      </c>
      <c r="E368" s="25">
        <v>15840.0</v>
      </c>
      <c r="F368" s="26">
        <v>0.0652</v>
      </c>
      <c r="G368" s="22">
        <v>21.0</v>
      </c>
      <c r="H368" s="27" t="s">
        <v>245</v>
      </c>
    </row>
    <row r="369" ht="15.75" customHeight="1">
      <c r="A369" s="28">
        <v>368.0</v>
      </c>
      <c r="B369" s="29">
        <v>46140.0</v>
      </c>
      <c r="C369" s="28" t="s">
        <v>234</v>
      </c>
      <c r="D369" s="30">
        <v>152.0</v>
      </c>
      <c r="E369" s="31">
        <v>17772.0</v>
      </c>
      <c r="F369" s="32">
        <v>0.0086</v>
      </c>
      <c r="G369" s="28">
        <v>21.0</v>
      </c>
      <c r="H369" s="33" t="s">
        <v>245</v>
      </c>
    </row>
    <row r="370" ht="15.75" customHeight="1">
      <c r="A370" s="22">
        <v>369.0</v>
      </c>
      <c r="B370" s="23">
        <v>46141.0</v>
      </c>
      <c r="C370" s="22" t="s">
        <v>234</v>
      </c>
      <c r="D370" s="24">
        <v>189.0</v>
      </c>
      <c r="E370" s="25">
        <v>18424.0</v>
      </c>
      <c r="F370" s="26">
        <v>0.0103</v>
      </c>
      <c r="G370" s="22">
        <v>19.0</v>
      </c>
      <c r="H370" s="27" t="s">
        <v>246</v>
      </c>
    </row>
    <row r="371" ht="15.75" customHeight="1">
      <c r="A371" s="28">
        <v>370.0</v>
      </c>
      <c r="B371" s="29">
        <v>46142.0</v>
      </c>
      <c r="C371" s="28" t="s">
        <v>234</v>
      </c>
      <c r="D371" s="30">
        <v>166.0</v>
      </c>
      <c r="E371" s="31">
        <v>18095.0</v>
      </c>
      <c r="F371" s="32">
        <v>0.0092</v>
      </c>
      <c r="G371" s="28">
        <v>18.0</v>
      </c>
      <c r="H371" s="33" t="s">
        <v>247</v>
      </c>
    </row>
    <row r="372" ht="15.75" customHeight="1">
      <c r="A372" s="22">
        <v>371.0</v>
      </c>
      <c r="B372" s="23">
        <v>46144.0</v>
      </c>
      <c r="C372" s="22" t="s">
        <v>248</v>
      </c>
      <c r="D372" s="34">
        <v>-2051.0</v>
      </c>
      <c r="E372" s="25">
        <v>14834.0</v>
      </c>
      <c r="F372" s="26">
        <v>-0.1383</v>
      </c>
      <c r="G372" s="22">
        <v>20.0</v>
      </c>
      <c r="H372" s="27" t="s">
        <v>249</v>
      </c>
    </row>
    <row r="373" ht="15.75" customHeight="1">
      <c r="A373" s="28">
        <v>372.0</v>
      </c>
      <c r="B373" s="29">
        <v>46145.0</v>
      </c>
      <c r="C373" s="28" t="s">
        <v>248</v>
      </c>
      <c r="D373" s="30">
        <v>924.0</v>
      </c>
      <c r="E373" s="31">
        <v>11694.0</v>
      </c>
      <c r="F373" s="32">
        <v>0.079</v>
      </c>
      <c r="G373" s="28">
        <v>20.0</v>
      </c>
      <c r="H373" s="33" t="s">
        <v>249</v>
      </c>
    </row>
    <row r="374" ht="15.75" customHeight="1">
      <c r="A374" s="22">
        <v>373.0</v>
      </c>
      <c r="B374" s="23">
        <v>46152.0</v>
      </c>
      <c r="C374" s="22" t="s">
        <v>248</v>
      </c>
      <c r="D374" s="24">
        <v>252.0</v>
      </c>
      <c r="E374" s="25">
        <v>9272.0</v>
      </c>
      <c r="F374" s="26">
        <v>0.0272</v>
      </c>
      <c r="G374" s="22">
        <v>18.0</v>
      </c>
      <c r="H374" s="27" t="s">
        <v>250</v>
      </c>
    </row>
    <row r="375" ht="15.75" customHeight="1">
      <c r="A375" s="28">
        <v>374.0</v>
      </c>
      <c r="B375" s="29">
        <v>46153.0</v>
      </c>
      <c r="C375" s="28" t="s">
        <v>248</v>
      </c>
      <c r="D375" s="30">
        <v>126.0</v>
      </c>
      <c r="E375" s="31">
        <v>13059.0</v>
      </c>
      <c r="F375" s="32">
        <v>0.0096</v>
      </c>
      <c r="G375" s="28">
        <v>17.0</v>
      </c>
      <c r="H375" s="33" t="s">
        <v>251</v>
      </c>
    </row>
    <row r="376" ht="15.75" customHeight="1">
      <c r="A376" s="22">
        <v>375.0</v>
      </c>
      <c r="B376" s="23">
        <v>46154.0</v>
      </c>
      <c r="C376" s="22" t="s">
        <v>248</v>
      </c>
      <c r="D376" s="24">
        <v>417.0</v>
      </c>
      <c r="E376" s="25">
        <v>10532.0</v>
      </c>
      <c r="F376" s="26">
        <v>0.0396</v>
      </c>
      <c r="G376" s="22">
        <v>15.0</v>
      </c>
      <c r="H376" s="27" t="s">
        <v>252</v>
      </c>
    </row>
    <row r="377" ht="15.75" customHeight="1">
      <c r="A377" s="28">
        <v>376.0</v>
      </c>
      <c r="B377" s="29">
        <v>46155.0</v>
      </c>
      <c r="C377" s="28" t="s">
        <v>248</v>
      </c>
      <c r="D377" s="30">
        <v>756.0</v>
      </c>
      <c r="E377" s="31">
        <v>12488.0</v>
      </c>
      <c r="F377" s="32">
        <v>0.0605</v>
      </c>
      <c r="G377" s="28">
        <v>16.0</v>
      </c>
      <c r="H377" s="33" t="s">
        <v>253</v>
      </c>
    </row>
    <row r="378" ht="15.75" customHeight="1">
      <c r="A378" s="22">
        <v>377.0</v>
      </c>
      <c r="B378" s="23">
        <v>46156.0</v>
      </c>
      <c r="C378" s="22" t="s">
        <v>248</v>
      </c>
      <c r="D378" s="24">
        <v>195.0</v>
      </c>
      <c r="E378" s="25">
        <v>13928.0</v>
      </c>
      <c r="F378" s="26">
        <v>0.014</v>
      </c>
      <c r="G378" s="22">
        <v>16.0</v>
      </c>
      <c r="H378" s="27" t="s">
        <v>254</v>
      </c>
    </row>
    <row r="379" ht="15.75" customHeight="1">
      <c r="A379" s="28">
        <v>378.0</v>
      </c>
      <c r="B379" s="29">
        <v>46157.0</v>
      </c>
      <c r="C379" s="28" t="s">
        <v>248</v>
      </c>
      <c r="D379" s="30">
        <v>393.0</v>
      </c>
      <c r="E379" s="31">
        <v>15084.0</v>
      </c>
      <c r="F379" s="32">
        <v>0.0261</v>
      </c>
      <c r="G379" s="28">
        <v>15.0</v>
      </c>
      <c r="H379" s="33" t="s">
        <v>255</v>
      </c>
    </row>
    <row r="380" ht="15.75" customHeight="1">
      <c r="A380" s="22">
        <v>379.0</v>
      </c>
      <c r="B380" s="23">
        <v>46158.0</v>
      </c>
      <c r="C380" s="22" t="s">
        <v>248</v>
      </c>
      <c r="D380" s="24">
        <v>309.0</v>
      </c>
      <c r="E380" s="25">
        <v>13260.0</v>
      </c>
      <c r="F380" s="26">
        <v>0.0233</v>
      </c>
      <c r="G380" s="22">
        <v>14.0</v>
      </c>
      <c r="H380" s="27" t="s">
        <v>256</v>
      </c>
    </row>
    <row r="381" ht="15.75" customHeight="1">
      <c r="A381" s="28">
        <v>380.0</v>
      </c>
      <c r="B381" s="29">
        <v>46159.0</v>
      </c>
      <c r="C381" s="28" t="s">
        <v>248</v>
      </c>
      <c r="D381" s="30">
        <v>275.0</v>
      </c>
      <c r="E381" s="31">
        <v>17814.0</v>
      </c>
      <c r="F381" s="32">
        <v>0.0154</v>
      </c>
      <c r="G381" s="28">
        <v>14.0</v>
      </c>
      <c r="H381" s="33" t="s">
        <v>256</v>
      </c>
    </row>
    <row r="382" ht="15.75" customHeight="1">
      <c r="A382" s="22">
        <v>381.0</v>
      </c>
      <c r="B382" s="23">
        <v>46160.0</v>
      </c>
      <c r="C382" s="22" t="s">
        <v>248</v>
      </c>
      <c r="D382" s="24">
        <v>99.0</v>
      </c>
      <c r="E382" s="25">
        <v>11485.0</v>
      </c>
      <c r="F382" s="26">
        <v>0.0086</v>
      </c>
      <c r="G382" s="22">
        <v>13.0</v>
      </c>
      <c r="H382" s="27" t="s">
        <v>257</v>
      </c>
    </row>
    <row r="383" ht="15.75" customHeight="1">
      <c r="A383" s="28">
        <v>382.0</v>
      </c>
      <c r="B383" s="29">
        <v>46161.0</v>
      </c>
      <c r="C383" s="28" t="s">
        <v>248</v>
      </c>
      <c r="D383" s="30">
        <v>534.0</v>
      </c>
      <c r="E383" s="31">
        <v>7730.0</v>
      </c>
      <c r="F383" s="32">
        <v>0.0691</v>
      </c>
      <c r="G383" s="28">
        <v>11.0</v>
      </c>
      <c r="H383" s="33" t="s">
        <v>258</v>
      </c>
    </row>
    <row r="384" ht="15.75" customHeight="1">
      <c r="A384" s="22">
        <v>383.0</v>
      </c>
      <c r="B384" s="23">
        <v>46162.0</v>
      </c>
      <c r="C384" s="22" t="s">
        <v>248</v>
      </c>
      <c r="D384" s="24">
        <v>483.0</v>
      </c>
      <c r="E384" s="25">
        <v>10211.0</v>
      </c>
      <c r="F384" s="26">
        <v>0.0473</v>
      </c>
      <c r="G384" s="22">
        <v>15.0</v>
      </c>
      <c r="H384" s="27" t="s">
        <v>259</v>
      </c>
    </row>
    <row r="385" ht="15.75" customHeight="1">
      <c r="A385" s="28">
        <v>384.0</v>
      </c>
      <c r="B385" s="29">
        <v>46163.0</v>
      </c>
      <c r="C385" s="28" t="s">
        <v>248</v>
      </c>
      <c r="D385" s="30">
        <v>1132.0</v>
      </c>
      <c r="E385" s="31">
        <v>11004.0</v>
      </c>
      <c r="F385" s="32">
        <v>0.1029</v>
      </c>
      <c r="G385" s="28">
        <v>15.0</v>
      </c>
      <c r="H385" s="33" t="s">
        <v>259</v>
      </c>
    </row>
    <row r="386" ht="15.75" customHeight="1">
      <c r="A386" s="22">
        <v>385.0</v>
      </c>
      <c r="B386" s="23">
        <v>46164.0</v>
      </c>
      <c r="C386" s="22" t="s">
        <v>248</v>
      </c>
      <c r="D386" s="24">
        <v>200.0</v>
      </c>
      <c r="E386" s="25">
        <v>13136.0</v>
      </c>
      <c r="F386" s="26">
        <v>0.0152</v>
      </c>
      <c r="G386" s="22">
        <v>15.0</v>
      </c>
      <c r="H386" s="27" t="s">
        <v>260</v>
      </c>
    </row>
    <row r="387" ht="15.75" customHeight="1">
      <c r="A387" s="28">
        <v>386.0</v>
      </c>
      <c r="B387" s="29">
        <v>46165.0</v>
      </c>
      <c r="C387" s="28" t="s">
        <v>248</v>
      </c>
      <c r="D387" s="30">
        <v>547.0</v>
      </c>
      <c r="E387" s="31">
        <v>17836.0</v>
      </c>
      <c r="F387" s="32">
        <v>0.0307</v>
      </c>
      <c r="G387" s="28">
        <v>16.0</v>
      </c>
      <c r="H387" s="33" t="s">
        <v>261</v>
      </c>
    </row>
    <row r="388" ht="15.75" customHeight="1">
      <c r="A388" s="22">
        <v>387.0</v>
      </c>
      <c r="B388" s="23">
        <v>46167.0</v>
      </c>
      <c r="C388" s="22" t="s">
        <v>248</v>
      </c>
      <c r="D388" s="24">
        <v>90.0</v>
      </c>
      <c r="E388" s="25">
        <v>13321.0</v>
      </c>
      <c r="F388" s="26">
        <v>0.0068</v>
      </c>
      <c r="G388" s="22">
        <v>16.0</v>
      </c>
      <c r="H388" s="27" t="s">
        <v>261</v>
      </c>
    </row>
    <row r="389" ht="15.75" customHeight="1">
      <c r="A389" s="28">
        <v>388.0</v>
      </c>
      <c r="B389" s="29">
        <v>46168.0</v>
      </c>
      <c r="C389" s="28" t="s">
        <v>248</v>
      </c>
      <c r="D389" s="30">
        <v>1429.0</v>
      </c>
      <c r="E389" s="31">
        <v>15111.0</v>
      </c>
      <c r="F389" s="32">
        <v>0.0946</v>
      </c>
      <c r="G389" s="28">
        <v>17.0</v>
      </c>
      <c r="H389" s="33" t="s">
        <v>262</v>
      </c>
    </row>
    <row r="390" ht="15.75" customHeight="1">
      <c r="A390" s="22">
        <v>389.0</v>
      </c>
      <c r="B390" s="23">
        <v>46170.0</v>
      </c>
      <c r="C390" s="22" t="s">
        <v>248</v>
      </c>
      <c r="D390" s="24">
        <v>286.0</v>
      </c>
      <c r="E390" s="25">
        <v>13782.0</v>
      </c>
      <c r="F390" s="26">
        <v>0.0208</v>
      </c>
      <c r="G390" s="22">
        <v>16.0</v>
      </c>
      <c r="H390" s="27" t="s">
        <v>263</v>
      </c>
    </row>
    <row r="391" ht="15.75" customHeight="1">
      <c r="A391" s="28">
        <v>390.0</v>
      </c>
      <c r="B391" s="29">
        <v>46171.0</v>
      </c>
      <c r="C391" s="28" t="s">
        <v>248</v>
      </c>
      <c r="D391" s="30">
        <v>146.0</v>
      </c>
      <c r="E391" s="31">
        <v>14968.0</v>
      </c>
      <c r="F391" s="32">
        <v>0.0098</v>
      </c>
      <c r="G391" s="28">
        <v>17.0</v>
      </c>
      <c r="H391" s="33" t="s">
        <v>262</v>
      </c>
    </row>
    <row r="392" ht="15.75" customHeight="1">
      <c r="A392" s="22">
        <v>391.0</v>
      </c>
      <c r="B392" s="23">
        <v>46173.0</v>
      </c>
      <c r="C392" s="22" t="s">
        <v>248</v>
      </c>
      <c r="D392" s="24">
        <v>209.0</v>
      </c>
      <c r="E392" s="25">
        <v>15114.0</v>
      </c>
      <c r="F392" s="26">
        <v>0.0138</v>
      </c>
      <c r="G392" s="22">
        <v>17.0</v>
      </c>
      <c r="H392" s="27" t="s">
        <v>262</v>
      </c>
    </row>
    <row r="393" ht="15.75" customHeight="1">
      <c r="A393" s="28">
        <v>392.0</v>
      </c>
      <c r="B393" s="29">
        <v>46174.0</v>
      </c>
      <c r="C393" s="28" t="s">
        <v>264</v>
      </c>
      <c r="D393" s="30">
        <v>1177.0</v>
      </c>
      <c r="E393" s="31">
        <v>11911.0</v>
      </c>
      <c r="F393" s="32">
        <v>0.0988</v>
      </c>
      <c r="G393" s="28">
        <v>14.0</v>
      </c>
      <c r="H393" s="33" t="s">
        <v>265</v>
      </c>
    </row>
    <row r="394" ht="15.75" customHeight="1">
      <c r="A394" s="22">
        <v>393.0</v>
      </c>
      <c r="B394" s="23">
        <v>46175.0</v>
      </c>
      <c r="C394" s="22" t="s">
        <v>264</v>
      </c>
      <c r="D394" s="24">
        <v>603.0</v>
      </c>
      <c r="E394" s="25">
        <v>14060.0</v>
      </c>
      <c r="F394" s="26">
        <v>0.0429</v>
      </c>
      <c r="G394" s="22">
        <v>12.0</v>
      </c>
      <c r="H394" s="27" t="s">
        <v>266</v>
      </c>
    </row>
    <row r="395" ht="15.75" customHeight="1">
      <c r="A395" s="28">
        <v>394.0</v>
      </c>
      <c r="B395" s="29">
        <v>46176.0</v>
      </c>
      <c r="C395" s="28" t="s">
        <v>264</v>
      </c>
      <c r="D395" s="30">
        <v>792.0</v>
      </c>
      <c r="E395" s="31">
        <v>11066.0</v>
      </c>
      <c r="F395" s="32">
        <v>0.0716</v>
      </c>
      <c r="G395" s="28">
        <v>10.0</v>
      </c>
      <c r="H395" s="33" t="s">
        <v>267</v>
      </c>
    </row>
    <row r="396" ht="15.75" customHeight="1">
      <c r="A396" s="22">
        <v>395.0</v>
      </c>
      <c r="B396" s="23">
        <v>46177.0</v>
      </c>
      <c r="C396" s="22" t="s">
        <v>264</v>
      </c>
      <c r="D396" s="24">
        <v>302.0</v>
      </c>
      <c r="E396" s="25">
        <v>11858.0</v>
      </c>
      <c r="F396" s="26">
        <v>0.0255</v>
      </c>
      <c r="G396" s="22">
        <v>9.0</v>
      </c>
      <c r="H396" s="27" t="s">
        <v>268</v>
      </c>
    </row>
    <row r="397" ht="15.75" customHeight="1">
      <c r="A397" s="28">
        <v>396.0</v>
      </c>
      <c r="B397" s="29">
        <v>46178.0</v>
      </c>
      <c r="C397" s="28" t="s">
        <v>264</v>
      </c>
      <c r="D397" s="35">
        <v>-1920.0</v>
      </c>
      <c r="E397" s="31">
        <v>10798.0</v>
      </c>
      <c r="F397" s="32">
        <v>-0.1778</v>
      </c>
      <c r="G397" s="28">
        <v>5.0</v>
      </c>
      <c r="H397" s="33" t="s">
        <v>269</v>
      </c>
    </row>
    <row r="398" ht="15.75" customHeight="1">
      <c r="A398" s="22">
        <v>397.0</v>
      </c>
      <c r="B398" s="23">
        <v>46183.0</v>
      </c>
      <c r="C398" s="22" t="s">
        <v>264</v>
      </c>
      <c r="D398" s="24">
        <v>703.0</v>
      </c>
      <c r="E398" s="25">
        <v>11428.0</v>
      </c>
      <c r="F398" s="26">
        <v>0.0615</v>
      </c>
      <c r="G398" s="22">
        <v>10.0</v>
      </c>
      <c r="H398" s="27" t="s">
        <v>270</v>
      </c>
    </row>
    <row r="399" ht="15.75" customHeight="1">
      <c r="A399" s="28">
        <v>398.0</v>
      </c>
      <c r="B399" s="29">
        <v>46184.0</v>
      </c>
      <c r="C399" s="28" t="s">
        <v>264</v>
      </c>
      <c r="D399" s="30">
        <v>264.0</v>
      </c>
      <c r="E399" s="31">
        <v>13531.0</v>
      </c>
      <c r="F399" s="32">
        <v>0.0195</v>
      </c>
      <c r="G399" s="28">
        <v>12.0</v>
      </c>
      <c r="H399" s="33" t="s">
        <v>271</v>
      </c>
    </row>
    <row r="400" ht="15.75" customHeight="1">
      <c r="A400" s="22">
        <v>399.0</v>
      </c>
      <c r="B400" s="23">
        <v>46185.0</v>
      </c>
      <c r="C400" s="22" t="s">
        <v>264</v>
      </c>
      <c r="D400" s="34">
        <v>-40.0</v>
      </c>
      <c r="E400" s="25">
        <v>13367.0</v>
      </c>
      <c r="F400" s="26">
        <v>-0.003</v>
      </c>
      <c r="G400" s="22">
        <v>12.0</v>
      </c>
      <c r="H400" s="27" t="s">
        <v>271</v>
      </c>
    </row>
    <row r="401" ht="15.75" customHeight="1">
      <c r="A401" s="28">
        <v>400.0</v>
      </c>
      <c r="B401" s="29">
        <v>46186.0</v>
      </c>
      <c r="C401" s="28" t="s">
        <v>264</v>
      </c>
      <c r="D401" s="30">
        <v>518.0</v>
      </c>
      <c r="E401" s="31">
        <v>13327.0</v>
      </c>
      <c r="F401" s="32">
        <v>0.0389</v>
      </c>
      <c r="G401" s="28">
        <v>12.0</v>
      </c>
      <c r="H401" s="33" t="s">
        <v>271</v>
      </c>
    </row>
    <row r="402" ht="15.75" customHeight="1">
      <c r="A402" s="22">
        <v>401.0</v>
      </c>
      <c r="B402" s="23">
        <v>46187.0</v>
      </c>
      <c r="C402" s="22" t="s">
        <v>264</v>
      </c>
      <c r="D402" s="24">
        <v>184.0</v>
      </c>
      <c r="E402" s="25">
        <v>15345.0</v>
      </c>
      <c r="F402" s="26">
        <v>0.012</v>
      </c>
      <c r="G402" s="22">
        <v>14.0</v>
      </c>
      <c r="H402" s="27" t="s">
        <v>272</v>
      </c>
    </row>
    <row r="403" ht="15.75" customHeight="1">
      <c r="A403" s="28">
        <v>402.0</v>
      </c>
      <c r="B403" s="29">
        <v>46188.0</v>
      </c>
      <c r="C403" s="28" t="s">
        <v>264</v>
      </c>
      <c r="D403" s="35">
        <v>-230.0</v>
      </c>
      <c r="E403" s="31">
        <v>15529.0</v>
      </c>
      <c r="F403" s="32">
        <v>-0.0148</v>
      </c>
      <c r="G403" s="28">
        <v>14.0</v>
      </c>
      <c r="H403" s="33" t="s">
        <v>272</v>
      </c>
    </row>
    <row r="404" ht="15.75" customHeight="1">
      <c r="A404" s="22">
        <v>403.0</v>
      </c>
      <c r="B404" s="23">
        <v>46189.0</v>
      </c>
      <c r="C404" s="22" t="s">
        <v>264</v>
      </c>
      <c r="D404" s="24">
        <v>310.0</v>
      </c>
      <c r="E404" s="25">
        <v>13494.0</v>
      </c>
      <c r="F404" s="26">
        <v>0.023</v>
      </c>
      <c r="G404" s="22">
        <v>14.0</v>
      </c>
      <c r="H404" s="27" t="s">
        <v>273</v>
      </c>
    </row>
    <row r="405" ht="15.75" customHeight="1">
      <c r="A405" s="28">
        <v>404.0</v>
      </c>
      <c r="B405" s="29">
        <v>46190.0</v>
      </c>
      <c r="C405" s="28" t="s">
        <v>264</v>
      </c>
      <c r="D405" s="30">
        <v>388.0</v>
      </c>
      <c r="E405" s="31">
        <v>15059.0</v>
      </c>
      <c r="F405" s="32">
        <v>0.0258</v>
      </c>
      <c r="G405" s="28">
        <v>12.0</v>
      </c>
      <c r="H405" s="33" t="s">
        <v>274</v>
      </c>
    </row>
    <row r="406" ht="15.75" customHeight="1">
      <c r="A406" s="22">
        <v>405.0</v>
      </c>
      <c r="B406" s="23">
        <v>46191.0</v>
      </c>
      <c r="C406" s="22" t="s">
        <v>264</v>
      </c>
      <c r="D406" s="24">
        <v>278.0</v>
      </c>
      <c r="E406" s="25">
        <v>10984.0</v>
      </c>
      <c r="F406" s="26">
        <v>0.0253</v>
      </c>
      <c r="G406" s="22">
        <v>12.0</v>
      </c>
      <c r="H406" s="27" t="s">
        <v>275</v>
      </c>
    </row>
    <row r="407" ht="15.75" customHeight="1">
      <c r="A407" s="28">
        <v>406.0</v>
      </c>
      <c r="B407" s="29">
        <v>46193.0</v>
      </c>
      <c r="C407" s="28" t="s">
        <v>264</v>
      </c>
      <c r="D407" s="30">
        <v>446.0</v>
      </c>
      <c r="E407" s="31">
        <v>14307.0</v>
      </c>
      <c r="F407" s="32">
        <v>0.0312</v>
      </c>
      <c r="G407" s="28">
        <v>15.0</v>
      </c>
      <c r="H407" s="33" t="s">
        <v>276</v>
      </c>
    </row>
    <row r="408" ht="15.75" customHeight="1">
      <c r="A408" s="22">
        <v>407.0</v>
      </c>
      <c r="B408" s="23">
        <v>46194.0</v>
      </c>
      <c r="C408" s="22" t="s">
        <v>264</v>
      </c>
      <c r="D408" s="24">
        <v>484.0</v>
      </c>
      <c r="E408" s="25">
        <v>12214.0</v>
      </c>
      <c r="F408" s="26">
        <v>0.0396</v>
      </c>
      <c r="G408" s="22">
        <v>13.0</v>
      </c>
      <c r="H408" s="27" t="s">
        <v>277</v>
      </c>
    </row>
    <row r="409" ht="15.75" customHeight="1">
      <c r="A409" s="28">
        <v>408.0</v>
      </c>
      <c r="B409" s="29">
        <v>46195.0</v>
      </c>
      <c r="C409" s="28" t="s">
        <v>264</v>
      </c>
      <c r="D409" s="30">
        <v>574.0</v>
      </c>
      <c r="E409" s="31">
        <v>13197.0</v>
      </c>
      <c r="F409" s="32">
        <v>0.0435</v>
      </c>
      <c r="G409" s="28">
        <v>13.0</v>
      </c>
      <c r="H409" s="33" t="s">
        <v>278</v>
      </c>
    </row>
    <row r="410" ht="15.75" customHeight="1">
      <c r="A410" s="22">
        <v>409.0</v>
      </c>
      <c r="B410" s="23">
        <v>46197.0</v>
      </c>
      <c r="C410" s="22" t="s">
        <v>264</v>
      </c>
      <c r="D410" s="24">
        <v>642.0</v>
      </c>
      <c r="E410" s="25">
        <v>13652.0</v>
      </c>
      <c r="F410" s="26">
        <v>0.047</v>
      </c>
      <c r="G410" s="22">
        <v>13.0</v>
      </c>
      <c r="H410" s="27" t="s">
        <v>279</v>
      </c>
    </row>
    <row r="411" ht="15.75" customHeight="1">
      <c r="A411" s="28">
        <v>410.0</v>
      </c>
      <c r="B411" s="29">
        <v>46198.0</v>
      </c>
      <c r="C411" s="28" t="s">
        <v>264</v>
      </c>
      <c r="D411" s="30">
        <v>182.0</v>
      </c>
      <c r="E411" s="31">
        <v>13043.0</v>
      </c>
      <c r="F411" s="32">
        <v>0.014</v>
      </c>
      <c r="G411" s="28">
        <v>11.0</v>
      </c>
      <c r="H411" s="33" t="s">
        <v>280</v>
      </c>
    </row>
    <row r="412" ht="15.75" customHeight="1">
      <c r="A412" s="22">
        <v>411.0</v>
      </c>
      <c r="B412" s="23">
        <v>46199.0</v>
      </c>
      <c r="C412" s="22" t="s">
        <v>264</v>
      </c>
      <c r="D412" s="24">
        <v>497.0</v>
      </c>
      <c r="E412" s="25">
        <v>12335.0</v>
      </c>
      <c r="F412" s="26">
        <v>0.0403</v>
      </c>
      <c r="G412" s="22">
        <v>11.0</v>
      </c>
      <c r="H412" s="27" t="s">
        <v>280</v>
      </c>
    </row>
    <row r="413" ht="15.75" customHeight="1">
      <c r="A413" s="28">
        <v>412.0</v>
      </c>
      <c r="B413" s="29">
        <v>46200.0</v>
      </c>
      <c r="C413" s="28" t="s">
        <v>264</v>
      </c>
      <c r="D413" s="30">
        <v>347.0</v>
      </c>
      <c r="E413" s="31">
        <v>16082.0</v>
      </c>
      <c r="F413" s="32">
        <v>0.0216</v>
      </c>
      <c r="G413" s="28">
        <v>14.0</v>
      </c>
      <c r="H413" s="33" t="s">
        <v>281</v>
      </c>
    </row>
    <row r="414" ht="15.75" customHeight="1">
      <c r="A414" s="22">
        <v>413.0</v>
      </c>
      <c r="B414" s="23">
        <v>46203.0</v>
      </c>
      <c r="C414" s="22" t="s">
        <v>264</v>
      </c>
      <c r="D414" s="24">
        <v>296.0</v>
      </c>
      <c r="E414" s="25">
        <v>15740.0</v>
      </c>
      <c r="F414" s="26">
        <v>0.0188</v>
      </c>
      <c r="G414" s="22">
        <v>11.0</v>
      </c>
      <c r="H414" s="27" t="s">
        <v>282</v>
      </c>
    </row>
    <row r="415" ht="15.75" customHeight="1">
      <c r="C415" s="38" t="s">
        <v>283</v>
      </c>
      <c r="D415" s="39">
        <f>SUM(D2:D414)</f>
        <v>129048.49</v>
      </c>
    </row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414"/>
  <printOptions horizontalCentered="1"/>
  <pageMargins bottom="0.5" footer="0.0" header="0.0" left="0.4" right="0.4" top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1.0"/>
    <col customWidth="1" min="3" max="3" width="10.0"/>
    <col customWidth="1" min="4" max="4" width="15.0"/>
    <col customWidth="1" min="5" max="6" width="17.0"/>
    <col customWidth="1" min="7" max="7" width="18.0"/>
    <col customWidth="1" min="8" max="26" width="8.71"/>
  </cols>
  <sheetData>
    <row r="2">
      <c r="B2" s="40" t="s">
        <v>284</v>
      </c>
    </row>
    <row r="4" ht="27.75" customHeight="1">
      <c r="B4" s="21" t="s">
        <v>36</v>
      </c>
      <c r="C4" s="21" t="s">
        <v>19</v>
      </c>
      <c r="D4" s="21" t="s">
        <v>37</v>
      </c>
      <c r="E4" s="21" t="s">
        <v>285</v>
      </c>
      <c r="F4" s="21" t="s">
        <v>286</v>
      </c>
      <c r="G4" s="21" t="s">
        <v>287</v>
      </c>
    </row>
    <row r="5">
      <c r="B5" s="41" t="s">
        <v>288</v>
      </c>
      <c r="C5" s="28">
        <v>11.0</v>
      </c>
      <c r="D5" s="42">
        <v>341.75</v>
      </c>
      <c r="E5" s="31">
        <v>5369.0</v>
      </c>
      <c r="F5" s="43">
        <v>0.0637</v>
      </c>
      <c r="G5" s="31">
        <v>341.75</v>
      </c>
    </row>
    <row r="6">
      <c r="B6" s="22" t="s">
        <v>45</v>
      </c>
      <c r="C6" s="22">
        <v>28.0</v>
      </c>
      <c r="D6" s="44">
        <v>1771.43</v>
      </c>
      <c r="E6" s="25">
        <v>4556.0</v>
      </c>
      <c r="F6" s="45">
        <v>0.3888</v>
      </c>
      <c r="G6" s="25">
        <v>2113.18</v>
      </c>
    </row>
    <row r="7">
      <c r="B7" s="28" t="s">
        <v>56</v>
      </c>
      <c r="C7" s="28">
        <v>31.0</v>
      </c>
      <c r="D7" s="42">
        <v>4583.78</v>
      </c>
      <c r="E7" s="31">
        <v>5839.0</v>
      </c>
      <c r="F7" s="43">
        <v>0.785</v>
      </c>
      <c r="G7" s="31">
        <v>6696.96</v>
      </c>
    </row>
    <row r="8">
      <c r="B8" s="22" t="s">
        <v>64</v>
      </c>
      <c r="C8" s="22">
        <v>20.0</v>
      </c>
      <c r="D8" s="44">
        <v>4863.32</v>
      </c>
      <c r="E8" s="25">
        <v>6212.0</v>
      </c>
      <c r="F8" s="45">
        <v>0.7829</v>
      </c>
      <c r="G8" s="25">
        <v>11560.28</v>
      </c>
    </row>
    <row r="9">
      <c r="B9" s="28" t="s">
        <v>67</v>
      </c>
      <c r="C9" s="28">
        <v>22.0</v>
      </c>
      <c r="D9" s="42">
        <v>3553.74</v>
      </c>
      <c r="E9" s="31">
        <v>7751.0</v>
      </c>
      <c r="F9" s="43">
        <v>0.4585</v>
      </c>
      <c r="G9" s="31">
        <v>15114.02</v>
      </c>
    </row>
    <row r="10">
      <c r="B10" s="22" t="s">
        <v>68</v>
      </c>
      <c r="C10" s="22">
        <v>20.0</v>
      </c>
      <c r="D10" s="44">
        <v>4547.95</v>
      </c>
      <c r="E10" s="25">
        <v>7202.0</v>
      </c>
      <c r="F10" s="45">
        <v>0.6315</v>
      </c>
      <c r="G10" s="25">
        <v>19661.97</v>
      </c>
    </row>
    <row r="11">
      <c r="B11" s="28" t="s">
        <v>75</v>
      </c>
      <c r="C11" s="28">
        <v>25.0</v>
      </c>
      <c r="D11" s="42">
        <v>6682.52</v>
      </c>
      <c r="E11" s="31">
        <v>12538.0</v>
      </c>
      <c r="F11" s="43">
        <v>0.533</v>
      </c>
      <c r="G11" s="31">
        <v>26344.49</v>
      </c>
    </row>
    <row r="12">
      <c r="B12" s="22" t="s">
        <v>83</v>
      </c>
      <c r="C12" s="22">
        <v>24.0</v>
      </c>
      <c r="D12" s="44">
        <v>10794.0</v>
      </c>
      <c r="E12" s="25">
        <v>21736.0</v>
      </c>
      <c r="F12" s="45">
        <v>0.4966</v>
      </c>
      <c r="G12" s="25">
        <v>37138.49</v>
      </c>
    </row>
    <row r="13">
      <c r="B13" s="28" t="s">
        <v>93</v>
      </c>
      <c r="C13" s="28">
        <v>15.0</v>
      </c>
      <c r="D13" s="42">
        <v>6495.0</v>
      </c>
      <c r="E13" s="31">
        <v>20303.0</v>
      </c>
      <c r="F13" s="43">
        <v>0.3199</v>
      </c>
      <c r="G13" s="31">
        <v>43633.49</v>
      </c>
    </row>
    <row r="14">
      <c r="B14" s="22" t="s">
        <v>107</v>
      </c>
      <c r="C14" s="22">
        <v>18.0</v>
      </c>
      <c r="D14" s="44">
        <v>7212.0</v>
      </c>
      <c r="E14" s="25">
        <v>13218.0</v>
      </c>
      <c r="F14" s="45">
        <v>0.5456</v>
      </c>
      <c r="G14" s="25">
        <v>50845.49</v>
      </c>
    </row>
    <row r="15">
      <c r="B15" s="28" t="s">
        <v>121</v>
      </c>
      <c r="C15" s="28">
        <v>17.0</v>
      </c>
      <c r="D15" s="42">
        <v>8964.0</v>
      </c>
      <c r="E15" s="31">
        <v>22950.0</v>
      </c>
      <c r="F15" s="43">
        <v>0.3906</v>
      </c>
      <c r="G15" s="31">
        <v>59809.49</v>
      </c>
    </row>
    <row r="16">
      <c r="B16" s="22" t="s">
        <v>130</v>
      </c>
      <c r="C16" s="22">
        <v>21.0</v>
      </c>
      <c r="D16" s="44">
        <v>16974.0</v>
      </c>
      <c r="E16" s="25">
        <v>18408.0</v>
      </c>
      <c r="F16" s="45">
        <v>0.9221</v>
      </c>
      <c r="G16" s="25">
        <v>76783.49</v>
      </c>
    </row>
    <row r="17">
      <c r="B17" s="28" t="s">
        <v>146</v>
      </c>
      <c r="C17" s="28">
        <v>18.0</v>
      </c>
      <c r="D17" s="42">
        <v>202.0</v>
      </c>
      <c r="E17" s="31">
        <v>16448.0</v>
      </c>
      <c r="F17" s="43">
        <v>0.0123</v>
      </c>
      <c r="G17" s="31">
        <v>76985.49</v>
      </c>
    </row>
    <row r="18">
      <c r="B18" s="22" t="s">
        <v>161</v>
      </c>
      <c r="C18" s="22">
        <v>19.0</v>
      </c>
      <c r="D18" s="44">
        <v>8781.0</v>
      </c>
      <c r="E18" s="25">
        <v>14132.0</v>
      </c>
      <c r="F18" s="45">
        <v>0.6214</v>
      </c>
      <c r="G18" s="25">
        <v>85766.49</v>
      </c>
    </row>
    <row r="19">
      <c r="B19" s="28" t="s">
        <v>178</v>
      </c>
      <c r="C19" s="28">
        <v>25.0</v>
      </c>
      <c r="D19" s="42">
        <v>15739.0</v>
      </c>
      <c r="E19" s="31">
        <v>16654.0</v>
      </c>
      <c r="F19" s="43">
        <v>0.945</v>
      </c>
      <c r="G19" s="31">
        <v>101505.49</v>
      </c>
    </row>
    <row r="20">
      <c r="B20" s="22" t="s">
        <v>200</v>
      </c>
      <c r="C20" s="22">
        <v>19.0</v>
      </c>
      <c r="D20" s="44">
        <v>3883.0</v>
      </c>
      <c r="E20" s="25">
        <v>15975.0</v>
      </c>
      <c r="F20" s="45">
        <v>0.2431</v>
      </c>
      <c r="G20" s="25">
        <v>105388.49</v>
      </c>
    </row>
    <row r="21" ht="15.75" customHeight="1">
      <c r="B21" s="28" t="s">
        <v>217</v>
      </c>
      <c r="C21" s="28">
        <v>19.0</v>
      </c>
      <c r="D21" s="42">
        <v>4476.0</v>
      </c>
      <c r="E21" s="31">
        <v>14497.0</v>
      </c>
      <c r="F21" s="43">
        <v>0.3088</v>
      </c>
      <c r="G21" s="31">
        <v>109864.49</v>
      </c>
    </row>
    <row r="22" ht="15.75" customHeight="1">
      <c r="B22" s="22" t="s">
        <v>234</v>
      </c>
      <c r="C22" s="22">
        <v>18.0</v>
      </c>
      <c r="D22" s="44">
        <v>5636.0</v>
      </c>
      <c r="E22" s="25">
        <v>16095.0</v>
      </c>
      <c r="F22" s="45">
        <v>0.3502</v>
      </c>
      <c r="G22" s="25">
        <v>115500.49</v>
      </c>
    </row>
    <row r="23" ht="15.75" customHeight="1">
      <c r="B23" s="28" t="s">
        <v>248</v>
      </c>
      <c r="C23" s="28">
        <v>21.0</v>
      </c>
      <c r="D23" s="42">
        <v>6751.0</v>
      </c>
      <c r="E23" s="31">
        <v>13127.0</v>
      </c>
      <c r="F23" s="43">
        <v>0.5143</v>
      </c>
      <c r="G23" s="31">
        <v>122251.49</v>
      </c>
    </row>
    <row r="24" ht="15.75" customHeight="1">
      <c r="B24" s="22" t="s">
        <v>264</v>
      </c>
      <c r="C24" s="22">
        <v>22.0</v>
      </c>
      <c r="D24" s="44">
        <v>6797.0</v>
      </c>
      <c r="E24" s="25">
        <v>13288.0</v>
      </c>
      <c r="F24" s="45">
        <v>0.5115</v>
      </c>
      <c r="G24" s="25">
        <v>129048.49</v>
      </c>
    </row>
    <row r="25" ht="15.75" customHeight="1">
      <c r="B25" s="38" t="s">
        <v>283</v>
      </c>
      <c r="C25" s="46">
        <f t="shared" ref="C25:D25" si="1">SUM(C5:C24)</f>
        <v>413</v>
      </c>
      <c r="D25" s="47">
        <f t="shared" si="1"/>
        <v>129048.49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bottom="0.5" footer="0.0" header="0.0" left="0.4" right="0.4" top="0.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42.0"/>
    <col customWidth="1" min="3" max="3" width="22.43"/>
    <col customWidth="1" min="4" max="4" width="52.0"/>
    <col customWidth="1" min="5" max="26" width="8.71"/>
  </cols>
  <sheetData>
    <row r="2">
      <c r="B2" s="40" t="s">
        <v>289</v>
      </c>
    </row>
    <row r="3">
      <c r="B3" s="48" t="s">
        <v>290</v>
      </c>
    </row>
    <row r="5">
      <c r="B5" s="49" t="s">
        <v>291</v>
      </c>
      <c r="C5" s="50"/>
      <c r="D5" s="6"/>
    </row>
    <row r="6">
      <c r="B6" s="51" t="s">
        <v>37</v>
      </c>
      <c r="C6" s="52">
        <v>129048.49</v>
      </c>
      <c r="D6" s="53" t="s">
        <v>292</v>
      </c>
    </row>
    <row r="7">
      <c r="B7" s="51" t="s">
        <v>293</v>
      </c>
      <c r="C7" s="54">
        <v>37955.0</v>
      </c>
      <c r="D7" s="53" t="s">
        <v>294</v>
      </c>
    </row>
    <row r="8">
      <c r="B8" s="51" t="s">
        <v>295</v>
      </c>
      <c r="C8" s="55">
        <v>413.0</v>
      </c>
      <c r="D8" s="53" t="s">
        <v>296</v>
      </c>
    </row>
    <row r="9">
      <c r="B9" s="51" t="s">
        <v>297</v>
      </c>
      <c r="C9" s="55">
        <v>20.0</v>
      </c>
      <c r="D9" s="53" t="s">
        <v>298</v>
      </c>
    </row>
    <row r="10">
      <c r="B10" s="51" t="s">
        <v>299</v>
      </c>
      <c r="C10" s="56" t="s">
        <v>9</v>
      </c>
      <c r="D10" s="53" t="s">
        <v>300</v>
      </c>
    </row>
    <row r="12">
      <c r="B12" s="49" t="s">
        <v>301</v>
      </c>
      <c r="C12" s="50"/>
      <c r="D12" s="6"/>
    </row>
    <row r="13">
      <c r="B13" s="51" t="s">
        <v>302</v>
      </c>
      <c r="C13" s="57">
        <v>0.513738779073846</v>
      </c>
      <c r="D13" s="53" t="s">
        <v>303</v>
      </c>
    </row>
    <row r="14">
      <c r="B14" s="51" t="s">
        <v>304</v>
      </c>
      <c r="C14" s="57">
        <v>0.511529896314743</v>
      </c>
      <c r="D14" s="53" t="s">
        <v>305</v>
      </c>
    </row>
    <row r="15">
      <c r="B15" s="51" t="s">
        <v>306</v>
      </c>
      <c r="C15" s="58">
        <v>13023.0</v>
      </c>
      <c r="D15" s="53" t="s">
        <v>307</v>
      </c>
    </row>
    <row r="16">
      <c r="B16" s="51" t="s">
        <v>308</v>
      </c>
      <c r="C16" s="56" t="s">
        <v>309</v>
      </c>
      <c r="D16" s="53" t="s">
        <v>310</v>
      </c>
    </row>
    <row r="17">
      <c r="B17" s="51" t="s">
        <v>311</v>
      </c>
      <c r="C17" s="59">
        <v>0.025965598523335</v>
      </c>
      <c r="D17" s="53" t="s">
        <v>312</v>
      </c>
    </row>
    <row r="18">
      <c r="B18" s="51" t="s">
        <v>313</v>
      </c>
      <c r="C18" s="59">
        <v>0.0210742544126598</v>
      </c>
      <c r="D18" s="53" t="s">
        <v>314</v>
      </c>
    </row>
    <row r="20">
      <c r="B20" s="49" t="s">
        <v>315</v>
      </c>
      <c r="C20" s="50"/>
      <c r="D20" s="6"/>
    </row>
    <row r="21" ht="15.75" customHeight="1">
      <c r="B21" s="51" t="s">
        <v>316</v>
      </c>
      <c r="C21" s="57">
        <v>0.842615012106538</v>
      </c>
      <c r="D21" s="53" t="s">
        <v>317</v>
      </c>
    </row>
    <row r="22" ht="15.75" customHeight="1">
      <c r="B22" s="51" t="s">
        <v>318</v>
      </c>
      <c r="C22" s="55">
        <v>348.0</v>
      </c>
      <c r="D22" s="53" t="s">
        <v>319</v>
      </c>
    </row>
    <row r="23" ht="15.75" customHeight="1">
      <c r="B23" s="51" t="s">
        <v>320</v>
      </c>
      <c r="C23" s="55">
        <v>58.0</v>
      </c>
      <c r="D23" s="53" t="s">
        <v>321</v>
      </c>
    </row>
    <row r="24" ht="15.75" customHeight="1">
      <c r="B24" s="51" t="s">
        <v>322</v>
      </c>
      <c r="C24" s="55">
        <v>7.0</v>
      </c>
      <c r="D24" s="53" t="s">
        <v>323</v>
      </c>
    </row>
    <row r="25" ht="15.75" customHeight="1">
      <c r="B25" s="51" t="s">
        <v>324</v>
      </c>
      <c r="C25" s="52">
        <v>456.04</v>
      </c>
      <c r="D25" s="53" t="s">
        <v>325</v>
      </c>
    </row>
    <row r="26" ht="15.75" customHeight="1">
      <c r="B26" s="51" t="s">
        <v>326</v>
      </c>
      <c r="C26" s="52">
        <v>-511.28</v>
      </c>
      <c r="D26" s="53" t="s">
        <v>327</v>
      </c>
    </row>
    <row r="27" ht="15.75" customHeight="1">
      <c r="B27" s="51" t="s">
        <v>328</v>
      </c>
      <c r="C27" s="60">
        <v>5.35180717609766</v>
      </c>
      <c r="D27" s="53" t="s">
        <v>329</v>
      </c>
    </row>
    <row r="28" ht="15.75" customHeight="1">
      <c r="B28" s="51" t="s">
        <v>330</v>
      </c>
      <c r="C28" s="58">
        <v>3794.0</v>
      </c>
      <c r="D28" s="53" t="s">
        <v>331</v>
      </c>
    </row>
    <row r="29" ht="15.75" customHeight="1">
      <c r="B29" s="51" t="s">
        <v>332</v>
      </c>
      <c r="C29" s="58">
        <v>-2594.0</v>
      </c>
      <c r="D29" s="53" t="s">
        <v>333</v>
      </c>
    </row>
    <row r="30" ht="15.75" customHeight="1"/>
    <row r="31" ht="15.75" customHeight="1">
      <c r="B31" s="49" t="s">
        <v>334</v>
      </c>
      <c r="C31" s="50"/>
      <c r="D31" s="6"/>
    </row>
    <row r="32" ht="15.75" customHeight="1">
      <c r="B32" s="51" t="s">
        <v>335</v>
      </c>
      <c r="C32" s="58">
        <v>5401.0</v>
      </c>
      <c r="D32" s="53" t="s">
        <v>336</v>
      </c>
    </row>
    <row r="33" ht="15.75" customHeight="1">
      <c r="B33" s="51" t="s">
        <v>337</v>
      </c>
      <c r="C33" s="57">
        <v>0.414740913571517</v>
      </c>
      <c r="D33" s="53" t="s">
        <v>338</v>
      </c>
    </row>
    <row r="34" ht="15.75" customHeight="1">
      <c r="B34" s="51" t="s">
        <v>339</v>
      </c>
      <c r="C34" s="56" t="s">
        <v>340</v>
      </c>
      <c r="D34" s="53" t="s">
        <v>341</v>
      </c>
    </row>
    <row r="35" ht="15.75" customHeight="1">
      <c r="B35" s="51" t="s">
        <v>342</v>
      </c>
      <c r="C35" s="55">
        <v>3.0</v>
      </c>
      <c r="D35" s="53" t="s">
        <v>343</v>
      </c>
    </row>
    <row r="36" ht="15.75" customHeight="1"/>
    <row r="37" ht="15.75" customHeight="1">
      <c r="B37" s="49" t="s">
        <v>344</v>
      </c>
      <c r="C37" s="50"/>
      <c r="D37" s="6"/>
    </row>
    <row r="38" ht="15.75" customHeight="1">
      <c r="B38" s="51" t="s">
        <v>345</v>
      </c>
      <c r="C38" s="60">
        <v>2.18963054954821</v>
      </c>
      <c r="D38" s="53" t="s">
        <v>346</v>
      </c>
    </row>
    <row r="39" ht="15.75" customHeight="1">
      <c r="B39" s="51" t="s">
        <v>347</v>
      </c>
      <c r="C39" s="60">
        <v>7.58510272324492</v>
      </c>
      <c r="D39" s="53" t="s">
        <v>348</v>
      </c>
    </row>
    <row r="40" ht="15.75" customHeight="1">
      <c r="B40" s="51" t="s">
        <v>349</v>
      </c>
      <c r="C40" s="56" t="s">
        <v>350</v>
      </c>
      <c r="D40" s="53" t="s">
        <v>351</v>
      </c>
    </row>
    <row r="41" ht="21.75" customHeight="1">
      <c r="B41" s="61" t="s">
        <v>352</v>
      </c>
    </row>
    <row r="42" ht="21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5:D5"/>
    <mergeCell ref="B12:D12"/>
    <mergeCell ref="B20:D20"/>
    <mergeCell ref="B31:D31"/>
    <mergeCell ref="B37:D37"/>
    <mergeCell ref="B41:D42"/>
  </mergeCells>
  <printOptions horizontalCentered="1"/>
  <pageMargins bottom="0.5" footer="0.0" header="0.0" left="0.4" right="0.4" top="0.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22.0"/>
    <col customWidth="1" min="3" max="4" width="16.0"/>
    <col customWidth="1" min="5" max="5" width="20.0"/>
    <col customWidth="1" min="6" max="26" width="8.71"/>
  </cols>
  <sheetData>
    <row r="2">
      <c r="B2" s="40" t="s">
        <v>353</v>
      </c>
    </row>
    <row r="3">
      <c r="B3" s="48" t="s">
        <v>354</v>
      </c>
    </row>
    <row r="5">
      <c r="B5" s="21" t="s">
        <v>355</v>
      </c>
      <c r="C5" s="21" t="s">
        <v>356</v>
      </c>
      <c r="D5" s="21" t="s">
        <v>357</v>
      </c>
    </row>
    <row r="6">
      <c r="B6" s="62" t="s">
        <v>358</v>
      </c>
      <c r="C6" s="22">
        <v>383.0</v>
      </c>
      <c r="D6" s="45">
        <v>0.927</v>
      </c>
    </row>
    <row r="7">
      <c r="B7" s="51" t="s">
        <v>359</v>
      </c>
      <c r="C7" s="28">
        <v>310.0</v>
      </c>
      <c r="D7" s="43">
        <v>0.751</v>
      </c>
    </row>
    <row r="8">
      <c r="B8" s="63" t="s">
        <v>360</v>
      </c>
      <c r="C8" s="22">
        <v>296.0</v>
      </c>
      <c r="D8" s="45">
        <v>0.717</v>
      </c>
    </row>
    <row r="9">
      <c r="B9" s="51" t="s">
        <v>361</v>
      </c>
      <c r="C9" s="28">
        <v>257.0</v>
      </c>
      <c r="D9" s="43">
        <v>0.622</v>
      </c>
    </row>
    <row r="10">
      <c r="B10" s="63" t="s">
        <v>362</v>
      </c>
      <c r="C10" s="22">
        <v>232.0</v>
      </c>
      <c r="D10" s="45">
        <v>0.562</v>
      </c>
    </row>
    <row r="11">
      <c r="B11" s="51" t="s">
        <v>363</v>
      </c>
      <c r="C11" s="28">
        <v>224.0</v>
      </c>
      <c r="D11" s="43">
        <v>0.542</v>
      </c>
    </row>
    <row r="12">
      <c r="B12" s="63" t="s">
        <v>364</v>
      </c>
      <c r="C12" s="22">
        <v>196.0</v>
      </c>
      <c r="D12" s="45">
        <v>0.475</v>
      </c>
    </row>
    <row r="13">
      <c r="B13" s="51" t="s">
        <v>365</v>
      </c>
      <c r="C13" s="28">
        <v>184.0</v>
      </c>
      <c r="D13" s="43">
        <v>0.446</v>
      </c>
    </row>
    <row r="14">
      <c r="B14" s="63" t="s">
        <v>366</v>
      </c>
      <c r="C14" s="22">
        <v>180.0</v>
      </c>
      <c r="D14" s="45">
        <v>0.436</v>
      </c>
    </row>
    <row r="15">
      <c r="B15" s="51" t="s">
        <v>367</v>
      </c>
      <c r="C15" s="28">
        <v>156.0</v>
      </c>
      <c r="D15" s="43">
        <v>0.378</v>
      </c>
    </row>
    <row r="16">
      <c r="B16" s="63" t="s">
        <v>368</v>
      </c>
      <c r="C16" s="22">
        <v>150.0</v>
      </c>
      <c r="D16" s="45">
        <v>0.363</v>
      </c>
    </row>
    <row r="17">
      <c r="B17" s="51" t="s">
        <v>369</v>
      </c>
      <c r="C17" s="28">
        <v>126.0</v>
      </c>
      <c r="D17" s="43">
        <v>0.305</v>
      </c>
    </row>
    <row r="18">
      <c r="B18" s="63" t="s">
        <v>370</v>
      </c>
      <c r="C18" s="22">
        <v>120.0</v>
      </c>
      <c r="D18" s="45">
        <v>0.291</v>
      </c>
    </row>
    <row r="19">
      <c r="B19" s="51" t="s">
        <v>371</v>
      </c>
      <c r="C19" s="28">
        <v>116.0</v>
      </c>
      <c r="D19" s="43">
        <v>0.281</v>
      </c>
    </row>
    <row r="20">
      <c r="B20" s="63" t="s">
        <v>372</v>
      </c>
      <c r="C20" s="22">
        <v>112.0</v>
      </c>
      <c r="D20" s="45">
        <v>0.271</v>
      </c>
    </row>
    <row r="21" ht="15.75" customHeight="1">
      <c r="B21" s="51" t="s">
        <v>373</v>
      </c>
      <c r="C21" s="28">
        <v>106.0</v>
      </c>
      <c r="D21" s="43">
        <v>0.257</v>
      </c>
    </row>
    <row r="22" ht="15.75" customHeight="1">
      <c r="B22" s="63" t="s">
        <v>374</v>
      </c>
      <c r="C22" s="22">
        <v>79.0</v>
      </c>
      <c r="D22" s="45">
        <v>0.191</v>
      </c>
    </row>
    <row r="23" ht="15.75" customHeight="1">
      <c r="B23" s="51" t="s">
        <v>375</v>
      </c>
      <c r="C23" s="28">
        <v>70.0</v>
      </c>
      <c r="D23" s="43">
        <v>0.169</v>
      </c>
    </row>
    <row r="24" ht="15.75" customHeight="1">
      <c r="B24" s="63" t="s">
        <v>376</v>
      </c>
      <c r="C24" s="22">
        <v>64.0</v>
      </c>
      <c r="D24" s="45">
        <v>0.155</v>
      </c>
    </row>
    <row r="25" ht="15.75" customHeight="1">
      <c r="B25" s="51" t="s">
        <v>377</v>
      </c>
      <c r="C25" s="28">
        <v>60.0</v>
      </c>
      <c r="D25" s="43">
        <v>0.145</v>
      </c>
    </row>
    <row r="26" ht="15.75" customHeight="1">
      <c r="B26" s="63" t="s">
        <v>378</v>
      </c>
      <c r="C26" s="22">
        <v>58.0</v>
      </c>
      <c r="D26" s="45">
        <v>0.14</v>
      </c>
    </row>
    <row r="27" ht="15.75" customHeight="1">
      <c r="B27" s="51" t="s">
        <v>379</v>
      </c>
      <c r="C27" s="28">
        <v>27.0</v>
      </c>
      <c r="D27" s="43">
        <v>0.065</v>
      </c>
    </row>
    <row r="28" ht="15.75" customHeight="1">
      <c r="B28" s="63" t="s">
        <v>380</v>
      </c>
      <c r="C28" s="22">
        <v>24.0</v>
      </c>
      <c r="D28" s="45">
        <v>0.058</v>
      </c>
    </row>
    <row r="29" ht="15.75" customHeight="1">
      <c r="B29" s="51" t="s">
        <v>381</v>
      </c>
      <c r="C29" s="28">
        <v>23.0</v>
      </c>
      <c r="D29" s="43">
        <v>0.056</v>
      </c>
    </row>
    <row r="30" ht="15.75" customHeight="1">
      <c r="B30" s="63" t="s">
        <v>382</v>
      </c>
      <c r="C30" s="22">
        <v>18.0</v>
      </c>
      <c r="D30" s="45">
        <v>0.044</v>
      </c>
    </row>
    <row r="31" ht="15.75" customHeight="1">
      <c r="B31" s="51" t="s">
        <v>383</v>
      </c>
      <c r="C31" s="28">
        <v>17.0</v>
      </c>
      <c r="D31" s="43">
        <v>0.041</v>
      </c>
    </row>
    <row r="32" ht="15.75" customHeight="1">
      <c r="B32" s="63" t="s">
        <v>384</v>
      </c>
      <c r="C32" s="22">
        <v>15.0</v>
      </c>
      <c r="D32" s="45">
        <v>0.036</v>
      </c>
    </row>
    <row r="33" ht="15.75" customHeight="1">
      <c r="B33" s="51" t="s">
        <v>385</v>
      </c>
      <c r="C33" s="28">
        <v>11.0</v>
      </c>
      <c r="D33" s="43">
        <v>0.027</v>
      </c>
    </row>
    <row r="34" ht="15.75" customHeight="1">
      <c r="B34" s="63" t="s">
        <v>386</v>
      </c>
      <c r="C34" s="22">
        <v>3.0</v>
      </c>
      <c r="D34" s="45">
        <v>0.007</v>
      </c>
    </row>
    <row r="35" ht="15.75" customHeight="1">
      <c r="B35" s="51" t="s">
        <v>387</v>
      </c>
      <c r="C35" s="28">
        <v>3.0</v>
      </c>
      <c r="D35" s="43">
        <v>0.007</v>
      </c>
    </row>
    <row r="36" ht="15.75" customHeight="1">
      <c r="B36" s="63" t="s">
        <v>388</v>
      </c>
      <c r="C36" s="22">
        <v>3.0</v>
      </c>
      <c r="D36" s="45">
        <v>0.007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E3"/>
  </mergeCells>
  <printOptions horizontalCentered="1"/>
  <pageMargins bottom="0.5" footer="0.0" header="0.0" left="0.4" right="0.4" top="0.5"/>
  <pageSetup fitToHeight="0" orientation="portrait"/>
  <drawing r:id="rId1"/>
</worksheet>
</file>